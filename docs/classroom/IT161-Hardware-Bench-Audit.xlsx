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4fb237546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" sheetId="1" r:id="R8f8a5c77a8184693"/>
    <x:sheet xmlns:r="http://schemas.openxmlformats.org/officeDocument/2006/relationships" name="Bench Inventory" sheetId="2" r:id="Rcb199cdf9a1942ce"/>
    <x:sheet xmlns:r="http://schemas.openxmlformats.org/officeDocument/2006/relationships" name="Tools &amp; Consumables" sheetId="3" r:id="Rd24f763a6ed745e7"/>
    <x:sheet xmlns:r="http://schemas.openxmlformats.org/officeDocument/2006/relationships" name="Spares &amp; Faults" sheetId="4" r:id="Raaa929ec2c394550"/>
    <x:sheet xmlns:r="http://schemas.openxmlformats.org/officeDocument/2006/relationships" name="Reset Trials" sheetId="5" r:id="Rc14359762d9f4f0e"/>
    <x:sheet xmlns:r="http://schemas.openxmlformats.org/officeDocument/2006/relationships" name="Reset Cards" sheetId="6" r:id="Ra9f943651ba5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4A3C"/>
      <x:name val="Carlito"/>
    </x:font>
    <x:font>
      <x:b/>
      <x:sz val="11"/>
      <x:color rgb="FF1B1B1B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B1B1B"/>
      </x:patternFill>
    </x:fill>
    <x:fill>
      <x:patternFill patternType="solid">
        <x:fgColor rgb="FFF4EFE8"/>
      </x:patternFill>
    </x:fill>
    <x:fill>
      <x:patternFill patternType="solid">
        <x:fgColor rgb="FFE8922E"/>
      </x:patternFill>
    </x:fill>
  </x:fills>
  <x:borders count="14">
    <x:border/>
    <x:border>
      <x:left style="medium">
        <x:color rgb="FFA96014"/>
      </x:left>
      <x:top style="medium">
        <x:color rgb="FFA96014"/>
      </x:top>
      <x:bottom style="medium">
        <x:color rgb="FFA96014"/>
      </x:bottom>
    </x:border>
    <x:border>
      <x:top style="medium">
        <x:color rgb="FFA96014"/>
      </x:top>
      <x:bottom style="medium">
        <x:color rgb="FFA96014"/>
      </x:bottom>
    </x:border>
    <x:border>
      <x:right style="medium">
        <x:color rgb="FFA96014"/>
      </x:right>
      <x:top style="medium">
        <x:color rgb="FFA96014"/>
      </x:top>
      <x:bottom style="medium">
        <x:color rgb="FFA96014"/>
      </x:bottom>
    </x:border>
    <x:border>
      <x:left style="medium">
        <x:color rgb="FFA96014"/>
      </x:left>
      <x:right style="thin">
        <x:color rgb="FFD7CEC4"/>
      </x:right>
      <x:top style="medium">
        <x:color rgb="FFA96014"/>
      </x:top>
      <x:bottom style="thin">
        <x:color rgb="FFD7CEC4"/>
      </x:bottom>
    </x:border>
    <x:border>
      <x:left style="thin">
        <x:color rgb="FFD7CEC4"/>
      </x:left>
      <x:right style="thin">
        <x:color rgb="FFD7CEC4"/>
      </x:right>
      <x:top style="medium">
        <x:color rgb="FFA96014"/>
      </x:top>
      <x:bottom style="thin">
        <x:color rgb="FFD7CEC4"/>
      </x:bottom>
    </x:border>
    <x:border>
      <x:left style="thin">
        <x:color rgb="FFD7CEC4"/>
      </x:left>
      <x:top style="medium">
        <x:color rgb="FFA96014"/>
      </x:top>
      <x:bottom style="thin">
        <x:color rgb="FFD7CEC4"/>
      </x:bottom>
    </x:border>
    <x:border>
      <x:left style="medium">
        <x:color rgb="FFA96014"/>
      </x:left>
      <x:right style="thin">
        <x:color rgb="FFD7CEC4"/>
      </x:right>
      <x:top style="thin">
        <x:color rgb="FFD7CEC4"/>
      </x:top>
      <x:bottom style="thin">
        <x:color rgb="FFD7CEC4"/>
      </x:bottom>
    </x:border>
    <x:border>
      <x:left style="thin">
        <x:color rgb="FFD7CEC4"/>
      </x:left>
      <x:right style="thin">
        <x:color rgb="FFD7CEC4"/>
      </x:right>
      <x:top style="thin">
        <x:color rgb="FFD7CEC4"/>
      </x:top>
      <x:bottom style="thin">
        <x:color rgb="FFD7CEC4"/>
      </x:bottom>
    </x:border>
    <x:border>
      <x:left style="thin">
        <x:color rgb="FFD7CEC4"/>
      </x:left>
      <x:top style="thin">
        <x:color rgb="FFD7CEC4"/>
      </x:top>
      <x:bottom style="thin">
        <x:color rgb="FFD7CEC4"/>
      </x:bottom>
    </x:border>
    <x:border>
      <x:left style="medium">
        <x:color rgb="FFA96014"/>
      </x:left>
      <x:right style="thin">
        <x:color rgb="FFD7CEC4"/>
      </x:right>
      <x:top style="thin">
        <x:color rgb="FFD7CEC4"/>
      </x:top>
      <x:bottom style="medium">
        <x:color rgb="FFA96014"/>
      </x:bottom>
    </x:border>
    <x:border>
      <x:left style="thin">
        <x:color rgb="FFD7CEC4"/>
      </x:left>
      <x:right style="thin">
        <x:color rgb="FFD7CEC4"/>
      </x:right>
      <x:top style="thin">
        <x:color rgb="FFD7CEC4"/>
      </x:top>
      <x:bottom style="medium">
        <x:color rgb="FFA96014"/>
      </x:bottom>
    </x:border>
    <x:border>
      <x:left style="thin">
        <x:color rgb="FFD7CEC4"/>
      </x:left>
      <x:top style="thin">
        <x:color rgb="FFD7CEC4"/>
      </x:top>
      <x:bottom style="medium">
        <x:color rgb="FFA96014"/>
      </x:bottom>
    </x:border>
    <x:border>
      <x:left style="thin">
        <x:color rgb="FF8A7868"/>
      </x:left>
      <x:right style="thin">
        <x:color rgb="FF8A7868"/>
      </x:right>
      <x:top style="thin">
        <x:color rgb="FF8A7868"/>
      </x:top>
      <x:bottom style="thin">
        <x:color rgb="FF8A786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3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215E21"/>
      </x:font>
      <x:fill>
        <x:patternFill patternType="solid">
          <x:bgColor rgb="FFDDEBDD"/>
        </x:patternFill>
      </x:fill>
    </x:dxf>
    <x:dxf>
      <x:font>
        <x:b/>
        <x:color rgb="FF215E21"/>
      </x:font>
      <x:fill>
        <x:patternFill patternType="solid">
          <x:bgColor rgb="FFDDEBDD"/>
        </x:patternFill>
      </x:fill>
    </x:dxf>
    <x:dxf>
      <x:font>
        <x:b/>
        <x:color rgb="FF8B1A1A"/>
      </x:font>
      <x:fill>
        <x:patternFill patternType="solid">
          <x:bgColor rgb="FFF8D7DA"/>
        </x:patternFill>
      </x:fill>
    </x:dxf>
    <x:dxf>
      <x:font>
        <x:b/>
        <x:color rgb="FF8B1A1A"/>
      </x:font>
      <x:fill>
        <x:patternFill patternType="solid">
          <x:bgColor rgb="FFF8D7DA"/>
        </x:patternFill>
      </x:fill>
    </x:dxf>
    <x:dxf>
      <x:font>
        <x:color rgb="FF7A4A00"/>
      </x:font>
      <x:fill>
        <x:patternFill patternType="solid">
          <x:bgColor rgb="FFFFF0CC"/>
        </x:patternFill>
      </x:fill>
    </x:dxf>
    <x:dxf>
      <x:font>
        <x:color rgb="FF7A4A00"/>
      </x:font>
      <x:fill>
        <x:patternFill patternType="solid">
          <x:bgColor rgb="FFFFF0CC"/>
        </x:patternFill>
      </x:fill>
    </x:dxf>
    <x:dxf>
      <x:font>
        <x:b/>
        <x:color rgb="FF215E21"/>
      </x:font>
      <x:fill>
        <x:patternFill patternType="solid">
          <x:bgColor rgb="FFDDEBDD"/>
        </x:patternFill>
      </x:fill>
    </x:dxf>
    <x:dxf>
      <x:font>
        <x:b/>
        <x:color rgb="FF215E21"/>
      </x:font>
      <x:fill>
        <x:patternFill patternType="solid">
          <x:bgColor rgb="FFDDEBDD"/>
        </x:patternFill>
      </x:fill>
    </x:dxf>
    <x:dxf>
      <x:font>
        <x:b/>
        <x:color rgb="FF8B1A1A"/>
      </x:font>
      <x:fill>
        <x:patternFill patternType="solid">
          <x:bgColor rgb="FFF8D7DA"/>
        </x:patternFill>
      </x:fill>
    </x:dxf>
    <x:dxf>
      <x:font>
        <x:b/>
        <x:color rgb="FF8B1A1A"/>
      </x:font>
      <x:fill>
        <x:patternFill patternType="solid">
          <x:bgColor rgb="FFF8D7DA"/>
        </x:patternFill>
      </x:fill>
    </x:dxf>
    <x:dxf>
      <x:font>
        <x:color rgb="FF7A4A00"/>
      </x:font>
      <x:fill>
        <x:patternFill patternType="solid">
          <x:bgColor rgb="FFFFF0CC"/>
        </x:patternFill>
      </x:fill>
    </x:dxf>
    <x:dxf>
      <x:font>
        <x:color rgb="FF7A4A00"/>
      </x:font>
      <x:fill>
        <x:patternFill patternType="solid">
          <x:bgColor rgb="FFFFF0CC"/>
        </x:patternFill>
      </x:fill>
    </x:dxf>
    <x:dxf>
      <x:font>
        <x:b/>
        <x:color rgb="FF215E21"/>
      </x:font>
      <x:fill>
        <x:patternFill patternType="solid">
          <x:bgColor rgb="FFDDEBDD"/>
        </x:patternFill>
      </x:fill>
    </x:dxf>
    <x:dxf>
      <x:font>
        <x:b/>
        <x:color rgb="FF215E21"/>
      </x:font>
      <x:fill>
        <x:patternFill patternType="solid">
          <x:bgColor rgb="FFDDEBDD"/>
        </x:patternFill>
      </x:fill>
    </x:dxf>
    <x:dxf>
      <x:font>
        <x:b/>
        <x:color rgb="FF8B1A1A"/>
      </x:font>
      <x:fill>
        <x:patternFill patternType="solid">
          <x:bgColor rgb="FFF8D7DA"/>
        </x:patternFill>
      </x:fill>
    </x:dxf>
    <x:dxf>
      <x:font>
        <x:b/>
        <x:color rgb="FF8B1A1A"/>
      </x:font>
      <x:fill>
        <x:patternFill patternType="solid">
          <x:bgColor rgb="FFF8D7DA"/>
        </x:patternFill>
      </x:fill>
    </x:dxf>
    <x:dxf>
      <x:font>
        <x:color rgb="FF7A4A00"/>
      </x:font>
      <x:fill>
        <x:patternFill patternType="solid">
          <x:bgColor rgb="FFFFF0CC"/>
        </x:patternFill>
      </x:fill>
    </x:dxf>
    <x:dxf>
      <x:font>
        <x:color rgb="FF7A4A00"/>
      </x:font>
      <x:fill>
        <x:patternFill patternType="solid">
          <x:bgColor rgb="FFFFF0CC"/>
        </x:patternFill>
      </x:fill>
    </x:dxf>
    <x:dxf>
      <x:font>
        <x:b/>
        <x:color rgb="FF215E21"/>
      </x:font>
      <x:fill>
        <x:patternFill patternType="solid">
          <x:bgColor rgb="FFDDEBDD"/>
        </x:patternFill>
      </x:fill>
    </x:dxf>
    <x:dxf>
      <x:font>
        <x:b/>
        <x:color rgb="FF8B1A1A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86addff29475f" /><Relationship Type="http://schemas.openxmlformats.org/officeDocument/2006/relationships/theme" Target="/xl/theme/theme1.xml" Id="R18482b63a8fe4533" /><Relationship Type="http://schemas.openxmlformats.org/officeDocument/2006/relationships/sharedStrings" Target="/xl/sharedStrings.xml" Id="R6f9206676f934adc" /><Relationship Type="http://schemas.openxmlformats.org/officeDocument/2006/relationships/worksheet" Target="/xl/worksheets/sheet1.xml" Id="R8f8a5c77a8184693" /><Relationship Type="http://schemas.openxmlformats.org/officeDocument/2006/relationships/worksheet" Target="/xl/worksheets/sheet2.xml" Id="Rcb199cdf9a1942ce" /><Relationship Type="http://schemas.openxmlformats.org/officeDocument/2006/relationships/worksheet" Target="/xl/worksheets/sheet3.xml" Id="Rd24f763a6ed745e7" /><Relationship Type="http://schemas.openxmlformats.org/officeDocument/2006/relationships/worksheet" Target="/xl/worksheets/sheet4.xml" Id="Raaa929ec2c394550" /><Relationship Type="http://schemas.openxmlformats.org/officeDocument/2006/relationships/worksheet" Target="/xl/worksheets/sheet5.xml" Id="Rc14359762d9f4f0e" /><Relationship Type="http://schemas.openxmlformats.org/officeDocument/2006/relationships/worksheet" Target="/xl/worksheets/sheet6.xml" Id="Ra9f943651ba5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5" t="str">
        <x:v>IT 161 — Four-Bench Readiness</x:v>
      </x:c>
      <x:c r="B1" s="35"/>
      <x:c r="C1" s="35"/>
      <x:c r="D1" s="35"/>
      <x:c r="E1" s="35"/>
      <x:c r="F1" s="35"/>
      <x:c r="G1" s="35"/>
      <x:c r="H1" s="35"/>
    </x:row>
    <x:row r="2">
      <x:c r="A2" s="7" t="str">
        <x:v>Issue #17 control sheet · yellow cells require physical verification in SHK 234</x:v>
      </x:c>
      <x:c r="B2" s="7"/>
      <x:c r="C2" s="7"/>
      <x:c r="D2" s="7"/>
      <x:c r="E2" s="7"/>
      <x:c r="F2" s="7"/>
      <x:c r="G2" s="7"/>
      <x:c r="H2" s="7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20" t="str">
        <x:v>Bench</x:v>
      </x:c>
      <x:c r="B4" s="21" t="str">
        <x:v>Components verified</x:v>
      </x:c>
      <x:c r="C4" s="21" t="str">
        <x:v>Missing / failed</x:v>
      </x:c>
      <x:c r="D4" s="21" t="str">
        <x:v>Tool blockers</x:v>
      </x:c>
      <x:c r="E4" s="21" t="str">
        <x:v>Fastest reset (min)</x:v>
      </x:c>
      <x:c r="F4" s="21" t="str">
        <x:v>Under 10 min</x:v>
      </x:c>
      <x:c r="G4" s="21" t="str">
        <x:v>Overall</x:v>
      </x:c>
      <x:c r="H4" s="22" t="str">
        <x:v>Instructor initials</x:v>
      </x:c>
    </x:row>
    <x:row r="5">
      <x:c r="A5" s="37" t="str">
        <x:v>BENCH-01</x:v>
      </x:c>
      <x:c r="B5" s="38" t="n">
        <x:f>COUNTIFS('Bench Inventory'!$A$5:$A$44,A5,'Bench Inventory'!$G$5:$G$44,"Verified")</x:f>
        <x:v>0</x:v>
      </x:c>
      <x:c r="C5" s="38" t="n">
        <x:f>COUNTIFS('Bench Inventory'!$A$5:$A$44,A5,'Bench Inventory'!$G$5:$G$44,"Missing")+COUNTIFS('Bench Inventory'!$A$5:$A$44,A5,'Bench Inventory'!$G$5:$G$44,"Failed")</x:f>
        <x:v>0</x:v>
      </x:c>
      <x:c r="D5" s="38" t="n">
        <x:f>COUNTIFS('Tools &amp; Consumables'!$A$5:$A$40,A5,'Tools &amp; Consumables'!$F$5:$F$40,"Blocked")</x:f>
        <x:v>0</x:v>
      </x:c>
      <x:c r="E5" s="38" t="str">
        <x:f>IF(COUNTIFS('Reset Trials'!$A$5:$A$24,A5,'Reset Trials'!$G$5:$G$24,"Pass")=0,"",MINIFS('Reset Trials'!$F$5:$F$24,'Reset Trials'!$A$5:$A$24,A5,'Reset Trials'!$G$5:$G$24,"Pass"))</x:f>
      </x:c>
      <x:c r="F5" s="38" t="str">
        <x:f>IF(E5="","Not tested",IF(E5&lt;=10,"Pass","Fail"))</x:f>
        <x:v>Not tested</x:v>
      </x:c>
      <x:c r="G5" s="38" t="str">
        <x:f>IF(AND(B5=10,C5=0,D5=0,F5="Pass"),"READY","NOT READY")</x:f>
        <x:v>NOT READY</x:v>
      </x:c>
      <x:c r="H5" s="39"/>
    </x:row>
    <x:row r="6">
      <x:c r="A6" s="37" t="str">
        <x:v>BENCH-02</x:v>
      </x:c>
      <x:c r="B6" s="38" t="n">
        <x:f>COUNTIFS('Bench Inventory'!$A$5:$A$44,A6,'Bench Inventory'!$G$5:$G$44,"Verified")</x:f>
        <x:v>0</x:v>
      </x:c>
      <x:c r="C6" s="38" t="n">
        <x:f>COUNTIFS('Bench Inventory'!$A$5:$A$44,A6,'Bench Inventory'!$G$5:$G$44,"Missing")+COUNTIFS('Bench Inventory'!$A$5:$A$44,A6,'Bench Inventory'!$G$5:$G$44,"Failed")</x:f>
        <x:v>0</x:v>
      </x:c>
      <x:c r="D6" s="38" t="n">
        <x:f>COUNTIFS('Tools &amp; Consumables'!$A$5:$A$40,A6,'Tools &amp; Consumables'!$F$5:$F$40,"Blocked")</x:f>
        <x:v>0</x:v>
      </x:c>
      <x:c r="E6" s="38" t="str">
        <x:f>IF(COUNTIFS('Reset Trials'!$A$5:$A$24,A6,'Reset Trials'!$G$5:$G$24,"Pass")=0,"",MINIFS('Reset Trials'!$F$5:$F$24,'Reset Trials'!$A$5:$A$24,A6,'Reset Trials'!$G$5:$G$24,"Pass"))</x:f>
      </x:c>
      <x:c r="F6" s="38" t="str">
        <x:f>IF(E6="","Not tested",IF(E6&lt;=10,"Pass","Fail"))</x:f>
        <x:v>Not tested</x:v>
      </x:c>
      <x:c r="G6" s="38" t="str">
        <x:f>IF(AND(B6=10,C6=0,D6=0,F6="Pass"),"READY","NOT READY")</x:f>
        <x:v>NOT READY</x:v>
      </x:c>
      <x:c r="H6" s="39"/>
    </x:row>
    <x:row r="7">
      <x:c r="A7" s="37" t="str">
        <x:v>BENCH-03</x:v>
      </x:c>
      <x:c r="B7" s="38" t="n">
        <x:f>COUNTIFS('Bench Inventory'!$A$5:$A$44,A7,'Bench Inventory'!$G$5:$G$44,"Verified")</x:f>
        <x:v>0</x:v>
      </x:c>
      <x:c r="C7" s="38" t="n">
        <x:f>COUNTIFS('Bench Inventory'!$A$5:$A$44,A7,'Bench Inventory'!$G$5:$G$44,"Missing")+COUNTIFS('Bench Inventory'!$A$5:$A$44,A7,'Bench Inventory'!$G$5:$G$44,"Failed")</x:f>
        <x:v>0</x:v>
      </x:c>
      <x:c r="D7" s="38" t="n">
        <x:f>COUNTIFS('Tools &amp; Consumables'!$A$5:$A$40,A7,'Tools &amp; Consumables'!$F$5:$F$40,"Blocked")</x:f>
        <x:v>0</x:v>
      </x:c>
      <x:c r="E7" s="38" t="str">
        <x:f>IF(COUNTIFS('Reset Trials'!$A$5:$A$24,A7,'Reset Trials'!$G$5:$G$24,"Pass")=0,"",MINIFS('Reset Trials'!$F$5:$F$24,'Reset Trials'!$A$5:$A$24,A7,'Reset Trials'!$G$5:$G$24,"Pass"))</x:f>
      </x:c>
      <x:c r="F7" s="38" t="str">
        <x:f>IF(E7="","Not tested",IF(E7&lt;=10,"Pass","Fail"))</x:f>
        <x:v>Not tested</x:v>
      </x:c>
      <x:c r="G7" s="38" t="str">
        <x:f>IF(AND(B7=10,C7=0,D7=0,F7="Pass"),"READY","NOT READY")</x:f>
        <x:v>NOT READY</x:v>
      </x:c>
      <x:c r="H7" s="39"/>
    </x:row>
    <x:row r="8">
      <x:c r="A8" s="37" t="str">
        <x:v>BENCH-04</x:v>
      </x:c>
      <x:c r="B8" s="38" t="n">
        <x:f>COUNTIFS('Bench Inventory'!$A$5:$A$44,A8,'Bench Inventory'!$G$5:$G$44,"Verified")</x:f>
        <x:v>0</x:v>
      </x:c>
      <x:c r="C8" s="38" t="n">
        <x:f>COUNTIFS('Bench Inventory'!$A$5:$A$44,A8,'Bench Inventory'!$G$5:$G$44,"Missing")+COUNTIFS('Bench Inventory'!$A$5:$A$44,A8,'Bench Inventory'!$G$5:$G$44,"Failed")</x:f>
        <x:v>0</x:v>
      </x:c>
      <x:c r="D8" s="38" t="n">
        <x:f>COUNTIFS('Tools &amp; Consumables'!$A$5:$A$40,A8,'Tools &amp; Consumables'!$F$5:$F$40,"Blocked")</x:f>
        <x:v>0</x:v>
      </x:c>
      <x:c r="E8" s="38" t="str">
        <x:f>IF(COUNTIFS('Reset Trials'!$A$5:$A$24,A8,'Reset Trials'!$G$5:$G$24,"Pass")=0,"",MINIFS('Reset Trials'!$F$5:$F$24,'Reset Trials'!$A$5:$A$24,A8,'Reset Trials'!$G$5:$G$24,"Pass"))</x:f>
      </x:c>
      <x:c r="F8" s="38" t="str">
        <x:f>IF(E8="","Not tested",IF(E8&lt;=10,"Pass","Fail"))</x:f>
        <x:v>Not tested</x:v>
      </x:c>
      <x:c r="G8" s="38" t="str">
        <x:f>IF(AND(B8=10,C8=0,D8=0,F8="Pass"),"READY","NOT READY")</x:f>
        <x:v>NOT READY</x:v>
      </x:c>
      <x:c r="H8" s="39"/>
    </x:row>
    <x:row r="9">
      <x:c r="A9" s="37"/>
      <x:c r="B9" s="38"/>
      <x:c r="C9" s="38"/>
      <x:c r="D9" s="38"/>
      <x:c r="E9" s="38"/>
      <x:c r="F9" s="38"/>
      <x:c r="G9" s="38"/>
      <x:c r="H9" s="39"/>
    </x:row>
    <x:row r="10">
      <x:c r="A10" s="37"/>
      <x:c r="B10" s="38"/>
      <x:c r="C10" s="38"/>
      <x:c r="D10" s="38"/>
      <x:c r="E10" s="38"/>
      <x:c r="F10" s="38"/>
      <x:c r="G10" s="38"/>
      <x:c r="H10" s="39"/>
    </x:row>
    <x:row r="11">
      <x:c r="A11" s="40" t="str">
        <x:v>Known blockers from the supplied AppSheet inventory</x:v>
      </x:c>
      <x:c r="B11" s="41"/>
      <x:c r="C11" s="41"/>
      <x:c r="D11" s="41"/>
      <x:c r="E11" s="41"/>
      <x:c r="F11" s="41"/>
      <x:c r="G11" s="41"/>
      <x:c r="H11" s="42"/>
    </x:row>
    <x:row r="12">
      <x:c r="A12" s="29" t="str">
        <x:v>Finding</x:v>
      </x:c>
      <x:c r="B12" s="30" t="str">
        <x:v>Inventory evidence</x:v>
      </x:c>
      <x:c r="C12" s="30" t="str">
        <x:v>Risk</x:v>
      </x:c>
      <x:c r="D12" s="30" t="str">
        <x:v>Required action</x:v>
      </x:c>
      <x:c r="E12" s="30" t="str">
        <x:v>Owner</x:v>
      </x:c>
      <x:c r="F12" s="30" t="str">
        <x:v>Due</x:v>
      </x:c>
      <x:c r="G12" s="30" t="str">
        <x:v>Status</x:v>
      </x:c>
      <x:c r="H12" s="31" t="str">
        <x:v>Notes</x:v>
      </x:c>
    </x:row>
    <x:row r="13">
      <x:c r="A13" s="37" t="str">
        <x:v>Meter batteries</x:v>
      </x:c>
      <x:c r="B13" s="38" t="str">
        <x:v>11 Fluke meters say ‘Needs 9V battery’; 9V stock = 0</x:v>
      </x:c>
      <x:c r="C13" s="38" t="str">
        <x:v>Meter checks cannot be trusted</x:v>
      </x:c>
      <x:c r="D13" s="38" t="str">
        <x:v>Obtain and install at least 5 tested 9V batteries</x:v>
      </x:c>
      <x:c r="E13" s="38" t="str"/>
      <x:c r="F13" s="38" t="str"/>
      <x:c r="G13" s="38" t="str">
        <x:v>Open</x:v>
      </x:c>
      <x:c r="H13" s="39" t="str"/>
    </x:row>
    <x:row r="14">
      <x:c r="A14" s="37" t="str">
        <x:v>AA/AAA batteries</x:v>
      </x:c>
      <x:c r="B14" s="38" t="str">
        <x:v>AA stock = 0; AAA stock = 0; several network tools need batteries</x:v>
      </x:c>
      <x:c r="C14" s="38" t="str">
        <x:v>Tool tests may fail during lab</x:v>
      </x:c>
      <x:c r="D14" s="38" t="str">
        <x:v>Inventory each tool’s battery type and restock</x:v>
      </x:c>
      <x:c r="E14" s="38" t="str"/>
      <x:c r="F14" s="38" t="str"/>
      <x:c r="G14" s="38" t="str">
        <x:v>Open</x:v>
      </x:c>
      <x:c r="H14" s="39" t="str"/>
    </x:row>
    <x:row r="15">
      <x:c r="A15" s="37" t="str">
        <x:v>Displays</x:v>
      </x:c>
      <x:c r="B15" s="38" t="str">
        <x:v>No four-bench monitor set identified in workbook</x:v>
      </x:c>
      <x:c r="C15" s="38" t="str">
        <x:v>POST/no-display labs cannot be repeated</x:v>
      </x:c>
      <x:c r="D15" s="38" t="str">
        <x:v>Assign one known-good display and cable set per bench</x:v>
      </x:c>
      <x:c r="E15" s="38" t="str"/>
      <x:c r="F15" s="38" t="str"/>
      <x:c r="G15" s="38" t="str">
        <x:v>Open</x:v>
      </x:c>
      <x:c r="H15" s="39" t="str"/>
    </x:row>
    <x:row r="16">
      <x:c r="A16" s="37" t="str">
        <x:v>Input devices</x:v>
      </x:c>
      <x:c r="B16" s="38" t="str">
        <x:v>Only three keyboards and one mouse are individually listed</x:v>
      </x:c>
      <x:c r="C16" s="38" t="str">
        <x:v>Boot verification may stall</x:v>
      </x:c>
      <x:c r="D16" s="38" t="str">
        <x:v>Assign four known-good keyboard/mouse sets</x:v>
      </x:c>
      <x:c r="E16" s="38" t="str"/>
      <x:c r="F16" s="38" t="str"/>
      <x:c r="G16" s="38" t="str">
        <x:v>Open</x:v>
      </x:c>
      <x:c r="H16" s="39" t="str"/>
    </x:row>
    <x:row r="17">
      <x:c r="A17" s="37"/>
      <x:c r="B17" s="38"/>
      <x:c r="C17" s="38"/>
      <x:c r="D17" s="38"/>
      <x:c r="E17" s="38"/>
      <x:c r="F17" s="38"/>
      <x:c r="G17" s="38"/>
      <x:c r="H17" s="39"/>
    </x:row>
    <x:row r="18">
      <x:c r="A18" s="37" t="str">
        <x:v>Source</x:v>
      </x:c>
      <x:c r="B18" s="38" t="str">
        <x:v>EvCC IT Lab - AppSheet Backend.xlsx</x:v>
      </x:c>
      <x:c r="C18" s="38" t="str"/>
      <x:c r="D18" s="38" t="str"/>
      <x:c r="E18" s="38" t="str"/>
      <x:c r="F18" s="38" t="str"/>
      <x:c r="G18" s="38" t="str"/>
      <x:c r="H18" s="39" t="str"/>
    </x:row>
    <x:row r="19">
      <x:c r="A19" s="37" t="str">
        <x:v>Audit rule</x:v>
      </x:c>
      <x:c r="B19" s="38" t="str">
        <x:v>A bench is READY only after all ten inventory lines are verified, no tool blockers remain, and one reset trial passes in 10 minutes or less.</x:v>
      </x:c>
      <x:c r="C19" s="38" t="str"/>
      <x:c r="D19" s="38" t="str"/>
      <x:c r="E19" s="38" t="str"/>
      <x:c r="F19" s="38" t="str"/>
      <x:c r="G19" s="38" t="str"/>
      <x:c r="H19" s="39" t="str"/>
    </x:row>
    <x:row r="20">
      <x:c r="A20" s="43" t="str">
        <x:v>Physical separation</x:v>
      </x:c>
      <x:c r="B20" s="44" t="str">
        <x:v>Green zone = known-good; red zone = staged-fault; gray quarantine = unknown or failed. Never return a fault part to green without retest.</x:v>
      </x:c>
      <x:c r="C20" s="44" t="str"/>
      <x:c r="D20" s="44" t="str"/>
      <x:c r="E20" s="44" t="str"/>
      <x:c r="F20" s="44" t="str"/>
      <x:c r="G20" s="44" t="str"/>
      <x:c r="H20" s="45" t="str"/>
    </x:row>
  </x:sheetData>
  <x:mergeCells>
    <x:mergeCell ref="A1:H1"/>
    <x:mergeCell ref="A2:H2"/>
    <x:mergeCell ref="A11:H11"/>
    <x:mergeCell ref="B18:H18"/>
    <x:mergeCell ref="B19:H19"/>
    <x:mergeCell ref="B20:H20"/>
  </x:mergeCells>
  <x:conditionalFormatting sqref="G5:G8">
    <x:cfRule type="cellIs" dxfId="18" priority="1" operator="equal">
      <x:formula>"READY"</x:formula>
    </x:cfRule>
    <x:cfRule type="cellIs" dxfId="19" priority="2" operator="equal">
      <x:formula>"NOT READY"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Bench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7" t="str">
        <x:v>Assign specific assets; quantities below are candidates, not proof that a bench is ready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20" t="str">
        <x:v>Bench</x:v>
      </x:c>
      <x:c r="B4" s="21" t="str">
        <x:v>Component</x:v>
      </x:c>
      <x:c r="C4" s="21" t="str">
        <x:v>Candidate / baseline</x:v>
      </x:c>
      <x:c r="D4" s="21" t="str">
        <x:v>Model or asset tag</x:v>
      </x:c>
      <x:c r="E4" s="21" t="str">
        <x:v>Qty in source</x:v>
      </x:c>
      <x:c r="F4" s="21" t="str">
        <x:v>Baseline test</x:v>
      </x:c>
      <x:c r="G4" s="21" t="str">
        <x:v>Verification</x:v>
      </x:c>
      <x:c r="H4" s="21" t="str">
        <x:v>Storage zone</x:v>
      </x:c>
      <x:c r="I4" s="21" t="str">
        <x:v>Verified date</x:v>
      </x:c>
      <x:c r="J4" s="22" t="str">
        <x:v>Notes</x:v>
      </x:c>
    </x:row>
    <x:row r="5">
      <x:c r="A5" s="37" t="str">
        <x:v>BENCH-01</x:v>
      </x:c>
      <x:c r="B5" s="38" t="str">
        <x:v>CPU + cooler</x:v>
      </x:c>
      <x:c r="C5" s="38" t="str">
        <x:v>AMD CPU w/ Cooler</x:v>
      </x:c>
      <x:c r="D5" s="38" t="str">
        <x:v>YD3000C6FHBOX</x:v>
      </x:c>
      <x:c r="E5" s="38" t="n">
        <x:v>20</x:v>
      </x:c>
      <x:c r="F5" s="38" t="str"/>
      <x:c r="G5" s="38" t="str">
        <x:v>Unverified</x:v>
      </x:c>
      <x:c r="H5" s="38" t="str"/>
      <x:c r="I5" s="38" t="str"/>
      <x:c r="J5" s="39" t="str"/>
    </x:row>
    <x:row r="6">
      <x:c r="A6" s="37" t="str">
        <x:v>BENCH-01</x:v>
      </x:c>
      <x:c r="B6" s="38" t="str">
        <x:v>Motherboard</x:v>
      </x:c>
      <x:c r="C6" s="38" t="str">
        <x:v>ASRock Motherboard</x:v>
      </x:c>
      <x:c r="D6" s="38" t="str">
        <x:v>90-MXBAB0-A0UAYZ</x:v>
      </x:c>
      <x:c r="E6" s="38" t="n">
        <x:v>22</x:v>
      </x:c>
      <x:c r="F6" s="38" t="str"/>
      <x:c r="G6" s="38" t="str">
        <x:v>Unverified</x:v>
      </x:c>
      <x:c r="H6" s="38" t="str"/>
      <x:c r="I6" s="38" t="str"/>
      <x:c r="J6" s="39" t="str"/>
    </x:row>
    <x:row r="7">
      <x:c r="A7" s="37" t="str">
        <x:v>BENCH-01</x:v>
      </x:c>
      <x:c r="B7" s="38" t="str">
        <x:v>RAM</x:v>
      </x:c>
      <x:c r="C7" s="38" t="str">
        <x:v>DDR4 8GB kit</x:v>
      </x:c>
      <x:c r="D7" s="38" t="str">
        <x:v>HX426C16FB3K2</x:v>
      </x:c>
      <x:c r="E7" s="38" t="n">
        <x:v>23</x:v>
      </x:c>
      <x:c r="F7" s="38" t="str"/>
      <x:c r="G7" s="38" t="str">
        <x:v>Unverified</x:v>
      </x:c>
      <x:c r="H7" s="38" t="str"/>
      <x:c r="I7" s="38" t="str"/>
      <x:c r="J7" s="39" t="str"/>
    </x:row>
    <x:row r="8">
      <x:c r="A8" s="37" t="str">
        <x:v>BENCH-01</x:v>
      </x:c>
      <x:c r="B8" s="38" t="str">
        <x:v>PSU</x:v>
      </x:c>
      <x:c r="C8" s="38" t="str">
        <x:v>450W PSU</x:v>
      </x:c>
      <x:c r="D8" s="38" t="str">
        <x:v>100-BR-0450</x:v>
      </x:c>
      <x:c r="E8" s="38" t="n">
        <x:v>21</x:v>
      </x:c>
      <x:c r="F8" s="38" t="str"/>
      <x:c r="G8" s="38" t="str">
        <x:v>Unverified</x:v>
      </x:c>
      <x:c r="H8" s="38" t="str"/>
      <x:c r="I8" s="38" t="str"/>
      <x:c r="J8" s="39" t="str"/>
    </x:row>
    <x:row r="9">
      <x:c r="A9" s="37" t="str">
        <x:v>BENCH-01</x:v>
      </x:c>
      <x:c r="B9" s="38" t="str">
        <x:v>Storage</x:v>
      </x:c>
      <x:c r="C9" s="38" t="str">
        <x:v>Kingston 120GB SSD</x:v>
      </x:c>
      <x:c r="D9" s="38" t="str">
        <x:v>SQ500S37/120G</x:v>
      </x:c>
      <x:c r="E9" s="38" t="n">
        <x:v>21</x:v>
      </x:c>
      <x:c r="F9" s="38" t="str"/>
      <x:c r="G9" s="38" t="str">
        <x:v>Unverified</x:v>
      </x:c>
      <x:c r="H9" s="38" t="str"/>
      <x:c r="I9" s="38" t="str"/>
      <x:c r="J9" s="39" t="str"/>
    </x:row>
    <x:row r="10">
      <x:c r="A10" s="37" t="str">
        <x:v>BENCH-01</x:v>
      </x:c>
      <x:c r="B10" s="38" t="str">
        <x:v>Display</x:v>
      </x:c>
      <x:c r="C10" s="38" t="str">
        <x:v>Assign known-good display</x:v>
      </x:c>
      <x:c r="D10" s="38" t="str"/>
      <x:c r="E10" s="38"/>
      <x:c r="F10" s="38" t="str"/>
      <x:c r="G10" s="38" t="str">
        <x:v>Unverified</x:v>
      </x:c>
      <x:c r="H10" s="38" t="str"/>
      <x:c r="I10" s="38" t="str"/>
      <x:c r="J10" s="39" t="str"/>
    </x:row>
    <x:row r="11">
      <x:c r="A11" s="37" t="str">
        <x:v>BENCH-01</x:v>
      </x:c>
      <x:c r="B11" s="38" t="str">
        <x:v>Display cable</x:v>
      </x:c>
      <x:c r="C11" s="38" t="str">
        <x:v>Assign known-good HDMI/DP/DVI cable</x:v>
      </x:c>
      <x:c r="D11" s="38" t="str"/>
      <x:c r="E11" s="38"/>
      <x:c r="F11" s="38" t="str"/>
      <x:c r="G11" s="38" t="str">
        <x:v>Unverified</x:v>
      </x:c>
      <x:c r="H11" s="38" t="str"/>
      <x:c r="I11" s="38" t="str"/>
      <x:c r="J11" s="39" t="str"/>
    </x:row>
    <x:row r="12">
      <x:c r="A12" s="37" t="str">
        <x:v>BENCH-01</x:v>
      </x:c>
      <x:c r="B12" s="38" t="str">
        <x:v>Keyboard</x:v>
      </x:c>
      <x:c r="C12" s="38" t="str">
        <x:v>Assign known-good USB keyboard</x:v>
      </x:c>
      <x:c r="D12" s="38" t="str"/>
      <x:c r="E12" s="38"/>
      <x:c r="F12" s="38" t="str"/>
      <x:c r="G12" s="38" t="str">
        <x:v>Unverified</x:v>
      </x:c>
      <x:c r="H12" s="38" t="str"/>
      <x:c r="I12" s="38" t="str"/>
      <x:c r="J12" s="39" t="str"/>
    </x:row>
    <x:row r="13">
      <x:c r="A13" s="37" t="str">
        <x:v>BENCH-01</x:v>
      </x:c>
      <x:c r="B13" s="38" t="str">
        <x:v>Mouse</x:v>
      </x:c>
      <x:c r="C13" s="38" t="str">
        <x:v>Assign known-good USB mouse</x:v>
      </x:c>
      <x:c r="D13" s="38" t="str"/>
      <x:c r="E13" s="38"/>
      <x:c r="F13" s="38" t="str"/>
      <x:c r="G13" s="38" t="str">
        <x:v>Unverified</x:v>
      </x:c>
      <x:c r="H13" s="38" t="str"/>
      <x:c r="I13" s="38" t="str"/>
      <x:c r="J13" s="39" t="str"/>
    </x:row>
    <x:row r="14">
      <x:c r="A14" s="37" t="str">
        <x:v>BENCH-01</x:v>
      </x:c>
      <x:c r="B14" s="38" t="str">
        <x:v>Bench platform / ESD</x:v>
      </x:c>
      <x:c r="C14" s="38" t="str">
        <x:v>OpenBenchTable + antistatic mat</x:v>
      </x:c>
      <x:c r="D14" s="38" t="str">
        <x:v>OpenBenchTable / IFIXIT</x:v>
      </x:c>
      <x:c r="E14" s="38" t="n">
        <x:v>4</x:v>
      </x:c>
      <x:c r="F14" s="38" t="str"/>
      <x:c r="G14" s="38" t="str">
        <x:v>Unverified</x:v>
      </x:c>
      <x:c r="H14" s="38" t="str"/>
      <x:c r="I14" s="38" t="str"/>
      <x:c r="J14" s="39" t="str"/>
    </x:row>
    <x:row r="15">
      <x:c r="A15" s="37" t="str">
        <x:v>BENCH-02</x:v>
      </x:c>
      <x:c r="B15" s="38" t="str">
        <x:v>CPU + cooler</x:v>
      </x:c>
      <x:c r="C15" s="38" t="str">
        <x:v>AMD CPU w/ Cooler</x:v>
      </x:c>
      <x:c r="D15" s="38" t="str">
        <x:v>YD3000C6FHBOX</x:v>
      </x:c>
      <x:c r="E15" s="38" t="n">
        <x:v>20</x:v>
      </x:c>
      <x:c r="F15" s="38" t="str"/>
      <x:c r="G15" s="38" t="str">
        <x:v>Unverified</x:v>
      </x:c>
      <x:c r="H15" s="38" t="str"/>
      <x:c r="I15" s="38" t="str"/>
      <x:c r="J15" s="39" t="str"/>
    </x:row>
    <x:row r="16">
      <x:c r="A16" s="37" t="str">
        <x:v>BENCH-02</x:v>
      </x:c>
      <x:c r="B16" s="38" t="str">
        <x:v>Motherboard</x:v>
      </x:c>
      <x:c r="C16" s="38" t="str">
        <x:v>ASRock Motherboard</x:v>
      </x:c>
      <x:c r="D16" s="38" t="str">
        <x:v>90-MXBAB0-A0UAYZ</x:v>
      </x:c>
      <x:c r="E16" s="38" t="n">
        <x:v>22</x:v>
      </x:c>
      <x:c r="F16" s="38" t="str"/>
      <x:c r="G16" s="38" t="str">
        <x:v>Unverified</x:v>
      </x:c>
      <x:c r="H16" s="38" t="str"/>
      <x:c r="I16" s="38" t="str"/>
      <x:c r="J16" s="39" t="str"/>
    </x:row>
    <x:row r="17">
      <x:c r="A17" s="37" t="str">
        <x:v>BENCH-02</x:v>
      </x:c>
      <x:c r="B17" s="38" t="str">
        <x:v>RAM</x:v>
      </x:c>
      <x:c r="C17" s="38" t="str">
        <x:v>DDR4 8GB kit</x:v>
      </x:c>
      <x:c r="D17" s="38" t="str">
        <x:v>HX426C16FB3K2</x:v>
      </x:c>
      <x:c r="E17" s="38" t="n">
        <x:v>23</x:v>
      </x:c>
      <x:c r="F17" s="38" t="str"/>
      <x:c r="G17" s="38" t="str">
        <x:v>Unverified</x:v>
      </x:c>
      <x:c r="H17" s="38" t="str"/>
      <x:c r="I17" s="38" t="str"/>
      <x:c r="J17" s="39" t="str"/>
    </x:row>
    <x:row r="18">
      <x:c r="A18" s="37" t="str">
        <x:v>BENCH-02</x:v>
      </x:c>
      <x:c r="B18" s="38" t="str">
        <x:v>PSU</x:v>
      </x:c>
      <x:c r="C18" s="38" t="str">
        <x:v>450W PSU</x:v>
      </x:c>
      <x:c r="D18" s="38" t="str">
        <x:v>100-BR-0450</x:v>
      </x:c>
      <x:c r="E18" s="38" t="n">
        <x:v>21</x:v>
      </x:c>
      <x:c r="F18" s="38" t="str"/>
      <x:c r="G18" s="38" t="str">
        <x:v>Unverified</x:v>
      </x:c>
      <x:c r="H18" s="38" t="str"/>
      <x:c r="I18" s="38" t="str"/>
      <x:c r="J18" s="39" t="str"/>
    </x:row>
    <x:row r="19">
      <x:c r="A19" s="37" t="str">
        <x:v>BENCH-02</x:v>
      </x:c>
      <x:c r="B19" s="38" t="str">
        <x:v>Storage</x:v>
      </x:c>
      <x:c r="C19" s="38" t="str">
        <x:v>Kingston 120GB SSD</x:v>
      </x:c>
      <x:c r="D19" s="38" t="str">
        <x:v>SQ500S37/120G</x:v>
      </x:c>
      <x:c r="E19" s="38" t="n">
        <x:v>21</x:v>
      </x:c>
      <x:c r="F19" s="38" t="str"/>
      <x:c r="G19" s="38" t="str">
        <x:v>Unverified</x:v>
      </x:c>
      <x:c r="H19" s="38" t="str"/>
      <x:c r="I19" s="38" t="str"/>
      <x:c r="J19" s="39" t="str"/>
    </x:row>
    <x:row r="20">
      <x:c r="A20" s="37" t="str">
        <x:v>BENCH-02</x:v>
      </x:c>
      <x:c r="B20" s="38" t="str">
        <x:v>Display</x:v>
      </x:c>
      <x:c r="C20" s="38" t="str">
        <x:v>Assign known-good display</x:v>
      </x:c>
      <x:c r="D20" s="38" t="str"/>
      <x:c r="E20" s="38"/>
      <x:c r="F20" s="38" t="str"/>
      <x:c r="G20" s="38" t="str">
        <x:v>Unverified</x:v>
      </x:c>
      <x:c r="H20" s="38" t="str"/>
      <x:c r="I20" s="38" t="str"/>
      <x:c r="J20" s="39" t="str"/>
    </x:row>
    <x:row r="21">
      <x:c r="A21" s="37" t="str">
        <x:v>BENCH-02</x:v>
      </x:c>
      <x:c r="B21" s="38" t="str">
        <x:v>Display cable</x:v>
      </x:c>
      <x:c r="C21" s="38" t="str">
        <x:v>Assign known-good HDMI/DP/DVI cable</x:v>
      </x:c>
      <x:c r="D21" s="38" t="str"/>
      <x:c r="E21" s="38"/>
      <x:c r="F21" s="38" t="str"/>
      <x:c r="G21" s="38" t="str">
        <x:v>Unverified</x:v>
      </x:c>
      <x:c r="H21" s="38" t="str"/>
      <x:c r="I21" s="38" t="str"/>
      <x:c r="J21" s="39" t="str"/>
    </x:row>
    <x:row r="22">
      <x:c r="A22" s="37" t="str">
        <x:v>BENCH-02</x:v>
      </x:c>
      <x:c r="B22" s="38" t="str">
        <x:v>Keyboard</x:v>
      </x:c>
      <x:c r="C22" s="38" t="str">
        <x:v>Assign known-good USB keyboard</x:v>
      </x:c>
      <x:c r="D22" s="38" t="str"/>
      <x:c r="E22" s="38"/>
      <x:c r="F22" s="38" t="str"/>
      <x:c r="G22" s="38" t="str">
        <x:v>Unverified</x:v>
      </x:c>
      <x:c r="H22" s="38" t="str"/>
      <x:c r="I22" s="38" t="str"/>
      <x:c r="J22" s="39" t="str"/>
    </x:row>
    <x:row r="23">
      <x:c r="A23" s="37" t="str">
        <x:v>BENCH-02</x:v>
      </x:c>
      <x:c r="B23" s="38" t="str">
        <x:v>Mouse</x:v>
      </x:c>
      <x:c r="C23" s="38" t="str">
        <x:v>Assign known-good USB mouse</x:v>
      </x:c>
      <x:c r="D23" s="38" t="str"/>
      <x:c r="E23" s="38"/>
      <x:c r="F23" s="38" t="str"/>
      <x:c r="G23" s="38" t="str">
        <x:v>Unverified</x:v>
      </x:c>
      <x:c r="H23" s="38" t="str"/>
      <x:c r="I23" s="38" t="str"/>
      <x:c r="J23" s="39" t="str"/>
    </x:row>
    <x:row r="24">
      <x:c r="A24" s="37" t="str">
        <x:v>BENCH-02</x:v>
      </x:c>
      <x:c r="B24" s="38" t="str">
        <x:v>Bench platform / ESD</x:v>
      </x:c>
      <x:c r="C24" s="38" t="str">
        <x:v>OpenBenchTable + antistatic mat</x:v>
      </x:c>
      <x:c r="D24" s="38" t="str">
        <x:v>OpenBenchTable / IFIXIT</x:v>
      </x:c>
      <x:c r="E24" s="38" t="n">
        <x:v>4</x:v>
      </x:c>
      <x:c r="F24" s="38" t="str"/>
      <x:c r="G24" s="38" t="str">
        <x:v>Unverified</x:v>
      </x:c>
      <x:c r="H24" s="38" t="str"/>
      <x:c r="I24" s="38" t="str"/>
      <x:c r="J24" s="39" t="str"/>
    </x:row>
    <x:row r="25">
      <x:c r="A25" s="37" t="str">
        <x:v>BENCH-03</x:v>
      </x:c>
      <x:c r="B25" s="38" t="str">
        <x:v>CPU + cooler</x:v>
      </x:c>
      <x:c r="C25" s="38" t="str">
        <x:v>AMD CPU w/ Cooler</x:v>
      </x:c>
      <x:c r="D25" s="38" t="str">
        <x:v>YD3000C6FHBOX</x:v>
      </x:c>
      <x:c r="E25" s="38" t="n">
        <x:v>20</x:v>
      </x:c>
      <x:c r="F25" s="38" t="str"/>
      <x:c r="G25" s="38" t="str">
        <x:v>Unverified</x:v>
      </x:c>
      <x:c r="H25" s="38" t="str"/>
      <x:c r="I25" s="38" t="str"/>
      <x:c r="J25" s="39" t="str"/>
    </x:row>
    <x:row r="26">
      <x:c r="A26" s="37" t="str">
        <x:v>BENCH-03</x:v>
      </x:c>
      <x:c r="B26" s="38" t="str">
        <x:v>Motherboard</x:v>
      </x:c>
      <x:c r="C26" s="38" t="str">
        <x:v>ASRock Motherboard</x:v>
      </x:c>
      <x:c r="D26" s="38" t="str">
        <x:v>90-MXBAB0-A0UAYZ</x:v>
      </x:c>
      <x:c r="E26" s="38" t="n">
        <x:v>22</x:v>
      </x:c>
      <x:c r="F26" s="38" t="str"/>
      <x:c r="G26" s="38" t="str">
        <x:v>Unverified</x:v>
      </x:c>
      <x:c r="H26" s="38" t="str"/>
      <x:c r="I26" s="38" t="str"/>
      <x:c r="J26" s="39" t="str"/>
    </x:row>
    <x:row r="27">
      <x:c r="A27" s="37" t="str">
        <x:v>BENCH-03</x:v>
      </x:c>
      <x:c r="B27" s="38" t="str">
        <x:v>RAM</x:v>
      </x:c>
      <x:c r="C27" s="38" t="str">
        <x:v>DDR4 8GB kit</x:v>
      </x:c>
      <x:c r="D27" s="38" t="str">
        <x:v>HX426C16FB3K2</x:v>
      </x:c>
      <x:c r="E27" s="38" t="n">
        <x:v>23</x:v>
      </x:c>
      <x:c r="F27" s="38" t="str"/>
      <x:c r="G27" s="38" t="str">
        <x:v>Unverified</x:v>
      </x:c>
      <x:c r="H27" s="38" t="str"/>
      <x:c r="I27" s="38" t="str"/>
      <x:c r="J27" s="39" t="str"/>
    </x:row>
    <x:row r="28">
      <x:c r="A28" s="37" t="str">
        <x:v>BENCH-03</x:v>
      </x:c>
      <x:c r="B28" s="38" t="str">
        <x:v>PSU</x:v>
      </x:c>
      <x:c r="C28" s="38" t="str">
        <x:v>450W PSU</x:v>
      </x:c>
      <x:c r="D28" s="38" t="str">
        <x:v>100-BR-0450</x:v>
      </x:c>
      <x:c r="E28" s="38" t="n">
        <x:v>21</x:v>
      </x:c>
      <x:c r="F28" s="38" t="str"/>
      <x:c r="G28" s="38" t="str">
        <x:v>Unverified</x:v>
      </x:c>
      <x:c r="H28" s="38" t="str"/>
      <x:c r="I28" s="38" t="str"/>
      <x:c r="J28" s="39" t="str"/>
    </x:row>
    <x:row r="29">
      <x:c r="A29" s="37" t="str">
        <x:v>BENCH-03</x:v>
      </x:c>
      <x:c r="B29" s="38" t="str">
        <x:v>Storage</x:v>
      </x:c>
      <x:c r="C29" s="38" t="str">
        <x:v>Kingston 120GB SSD</x:v>
      </x:c>
      <x:c r="D29" s="38" t="str">
        <x:v>SQ500S37/120G</x:v>
      </x:c>
      <x:c r="E29" s="38" t="n">
        <x:v>21</x:v>
      </x:c>
      <x:c r="F29" s="38" t="str"/>
      <x:c r="G29" s="38" t="str">
        <x:v>Unverified</x:v>
      </x:c>
      <x:c r="H29" s="38" t="str"/>
      <x:c r="I29" s="38" t="str"/>
      <x:c r="J29" s="39" t="str"/>
    </x:row>
    <x:row r="30">
      <x:c r="A30" s="37" t="str">
        <x:v>BENCH-03</x:v>
      </x:c>
      <x:c r="B30" s="38" t="str">
        <x:v>Display</x:v>
      </x:c>
      <x:c r="C30" s="38" t="str">
        <x:v>Assign known-good display</x:v>
      </x:c>
      <x:c r="D30" s="38" t="str"/>
      <x:c r="E30" s="38"/>
      <x:c r="F30" s="38" t="str"/>
      <x:c r="G30" s="38" t="str">
        <x:v>Unverified</x:v>
      </x:c>
      <x:c r="H30" s="38" t="str"/>
      <x:c r="I30" s="38" t="str"/>
      <x:c r="J30" s="39" t="str"/>
    </x:row>
    <x:row r="31">
      <x:c r="A31" s="37" t="str">
        <x:v>BENCH-03</x:v>
      </x:c>
      <x:c r="B31" s="38" t="str">
        <x:v>Display cable</x:v>
      </x:c>
      <x:c r="C31" s="38" t="str">
        <x:v>Assign known-good HDMI/DP/DVI cable</x:v>
      </x:c>
      <x:c r="D31" s="38" t="str"/>
      <x:c r="E31" s="38"/>
      <x:c r="F31" s="38" t="str"/>
      <x:c r="G31" s="38" t="str">
        <x:v>Unverified</x:v>
      </x:c>
      <x:c r="H31" s="38" t="str"/>
      <x:c r="I31" s="38" t="str"/>
      <x:c r="J31" s="39" t="str"/>
    </x:row>
    <x:row r="32">
      <x:c r="A32" s="37" t="str">
        <x:v>BENCH-03</x:v>
      </x:c>
      <x:c r="B32" s="38" t="str">
        <x:v>Keyboard</x:v>
      </x:c>
      <x:c r="C32" s="38" t="str">
        <x:v>Assign known-good USB keyboard</x:v>
      </x:c>
      <x:c r="D32" s="38" t="str"/>
      <x:c r="E32" s="38"/>
      <x:c r="F32" s="38" t="str"/>
      <x:c r="G32" s="38" t="str">
        <x:v>Unverified</x:v>
      </x:c>
      <x:c r="H32" s="38" t="str"/>
      <x:c r="I32" s="38" t="str"/>
      <x:c r="J32" s="39" t="str"/>
    </x:row>
    <x:row r="33">
      <x:c r="A33" s="37" t="str">
        <x:v>BENCH-03</x:v>
      </x:c>
      <x:c r="B33" s="38" t="str">
        <x:v>Mouse</x:v>
      </x:c>
      <x:c r="C33" s="38" t="str">
        <x:v>Assign known-good USB mouse</x:v>
      </x:c>
      <x:c r="D33" s="38" t="str"/>
      <x:c r="E33" s="38"/>
      <x:c r="F33" s="38" t="str"/>
      <x:c r="G33" s="38" t="str">
        <x:v>Unverified</x:v>
      </x:c>
      <x:c r="H33" s="38" t="str"/>
      <x:c r="I33" s="38" t="str"/>
      <x:c r="J33" s="39" t="str"/>
    </x:row>
    <x:row r="34">
      <x:c r="A34" s="37" t="str">
        <x:v>BENCH-03</x:v>
      </x:c>
      <x:c r="B34" s="38" t="str">
        <x:v>Bench platform / ESD</x:v>
      </x:c>
      <x:c r="C34" s="38" t="str">
        <x:v>OpenBenchTable + antistatic mat</x:v>
      </x:c>
      <x:c r="D34" s="38" t="str">
        <x:v>OpenBenchTable / IFIXIT</x:v>
      </x:c>
      <x:c r="E34" s="38" t="n">
        <x:v>4</x:v>
      </x:c>
      <x:c r="F34" s="38" t="str"/>
      <x:c r="G34" s="38" t="str">
        <x:v>Unverified</x:v>
      </x:c>
      <x:c r="H34" s="38" t="str"/>
      <x:c r="I34" s="38" t="str"/>
      <x:c r="J34" s="39" t="str"/>
    </x:row>
    <x:row r="35">
      <x:c r="A35" s="37" t="str">
        <x:v>BENCH-04</x:v>
      </x:c>
      <x:c r="B35" s="38" t="str">
        <x:v>CPU + cooler</x:v>
      </x:c>
      <x:c r="C35" s="38" t="str">
        <x:v>AMD CPU w/ Cooler</x:v>
      </x:c>
      <x:c r="D35" s="38" t="str">
        <x:v>YD3000C6FHBOX</x:v>
      </x:c>
      <x:c r="E35" s="38" t="n">
        <x:v>20</x:v>
      </x:c>
      <x:c r="F35" s="38" t="str"/>
      <x:c r="G35" s="38" t="str">
        <x:v>Unverified</x:v>
      </x:c>
      <x:c r="H35" s="38" t="str"/>
      <x:c r="I35" s="38" t="str"/>
      <x:c r="J35" s="39" t="str"/>
    </x:row>
    <x:row r="36">
      <x:c r="A36" s="37" t="str">
        <x:v>BENCH-04</x:v>
      </x:c>
      <x:c r="B36" s="38" t="str">
        <x:v>Motherboard</x:v>
      </x:c>
      <x:c r="C36" s="38" t="str">
        <x:v>ASRock Motherboard</x:v>
      </x:c>
      <x:c r="D36" s="38" t="str">
        <x:v>90-MXBAB0-A0UAYZ</x:v>
      </x:c>
      <x:c r="E36" s="38" t="n">
        <x:v>22</x:v>
      </x:c>
      <x:c r="F36" s="38" t="str"/>
      <x:c r="G36" s="38" t="str">
        <x:v>Unverified</x:v>
      </x:c>
      <x:c r="H36" s="38" t="str"/>
      <x:c r="I36" s="38" t="str"/>
      <x:c r="J36" s="39" t="str"/>
    </x:row>
    <x:row r="37">
      <x:c r="A37" s="37" t="str">
        <x:v>BENCH-04</x:v>
      </x:c>
      <x:c r="B37" s="38" t="str">
        <x:v>RAM</x:v>
      </x:c>
      <x:c r="C37" s="38" t="str">
        <x:v>DDR4 8GB kit</x:v>
      </x:c>
      <x:c r="D37" s="38" t="str">
        <x:v>HX426C16FB3K2</x:v>
      </x:c>
      <x:c r="E37" s="38" t="n">
        <x:v>23</x:v>
      </x:c>
      <x:c r="F37" s="38" t="str"/>
      <x:c r="G37" s="38" t="str">
        <x:v>Unverified</x:v>
      </x:c>
      <x:c r="H37" s="38" t="str"/>
      <x:c r="I37" s="38" t="str"/>
      <x:c r="J37" s="39" t="str"/>
    </x:row>
    <x:row r="38">
      <x:c r="A38" s="37" t="str">
        <x:v>BENCH-04</x:v>
      </x:c>
      <x:c r="B38" s="38" t="str">
        <x:v>PSU</x:v>
      </x:c>
      <x:c r="C38" s="38" t="str">
        <x:v>450W PSU</x:v>
      </x:c>
      <x:c r="D38" s="38" t="str">
        <x:v>100-BR-0450</x:v>
      </x:c>
      <x:c r="E38" s="38" t="n">
        <x:v>21</x:v>
      </x:c>
      <x:c r="F38" s="38" t="str"/>
      <x:c r="G38" s="38" t="str">
        <x:v>Unverified</x:v>
      </x:c>
      <x:c r="H38" s="38" t="str"/>
      <x:c r="I38" s="38" t="str"/>
      <x:c r="J38" s="39" t="str"/>
    </x:row>
    <x:row r="39">
      <x:c r="A39" s="37" t="str">
        <x:v>BENCH-04</x:v>
      </x:c>
      <x:c r="B39" s="38" t="str">
        <x:v>Storage</x:v>
      </x:c>
      <x:c r="C39" s="38" t="str">
        <x:v>Kingston 120GB SSD</x:v>
      </x:c>
      <x:c r="D39" s="38" t="str">
        <x:v>SQ500S37/120G</x:v>
      </x:c>
      <x:c r="E39" s="38" t="n">
        <x:v>21</x:v>
      </x:c>
      <x:c r="F39" s="38" t="str"/>
      <x:c r="G39" s="38" t="str">
        <x:v>Unverified</x:v>
      </x:c>
      <x:c r="H39" s="38" t="str"/>
      <x:c r="I39" s="38" t="str"/>
      <x:c r="J39" s="39" t="str"/>
    </x:row>
    <x:row r="40">
      <x:c r="A40" s="37" t="str">
        <x:v>BENCH-04</x:v>
      </x:c>
      <x:c r="B40" s="38" t="str">
        <x:v>Display</x:v>
      </x:c>
      <x:c r="C40" s="38" t="str">
        <x:v>Assign known-good display</x:v>
      </x:c>
      <x:c r="D40" s="38" t="str"/>
      <x:c r="E40" s="38"/>
      <x:c r="F40" s="38" t="str"/>
      <x:c r="G40" s="38" t="str">
        <x:v>Unverified</x:v>
      </x:c>
      <x:c r="H40" s="38" t="str"/>
      <x:c r="I40" s="38" t="str"/>
      <x:c r="J40" s="39" t="str"/>
    </x:row>
    <x:row r="41">
      <x:c r="A41" s="37" t="str">
        <x:v>BENCH-04</x:v>
      </x:c>
      <x:c r="B41" s="38" t="str">
        <x:v>Display cable</x:v>
      </x:c>
      <x:c r="C41" s="38" t="str">
        <x:v>Assign known-good HDMI/DP/DVI cable</x:v>
      </x:c>
      <x:c r="D41" s="38" t="str"/>
      <x:c r="E41" s="38"/>
      <x:c r="F41" s="38" t="str"/>
      <x:c r="G41" s="38" t="str">
        <x:v>Unverified</x:v>
      </x:c>
      <x:c r="H41" s="38" t="str"/>
      <x:c r="I41" s="38" t="str"/>
      <x:c r="J41" s="39" t="str"/>
    </x:row>
    <x:row r="42">
      <x:c r="A42" s="37" t="str">
        <x:v>BENCH-04</x:v>
      </x:c>
      <x:c r="B42" s="38" t="str">
        <x:v>Keyboard</x:v>
      </x:c>
      <x:c r="C42" s="38" t="str">
        <x:v>Assign known-good USB keyboard</x:v>
      </x:c>
      <x:c r="D42" s="38" t="str"/>
      <x:c r="E42" s="38"/>
      <x:c r="F42" s="38" t="str"/>
      <x:c r="G42" s="38" t="str">
        <x:v>Unverified</x:v>
      </x:c>
      <x:c r="H42" s="38" t="str"/>
      <x:c r="I42" s="38" t="str"/>
      <x:c r="J42" s="39" t="str"/>
    </x:row>
    <x:row r="43">
      <x:c r="A43" s="37" t="str">
        <x:v>BENCH-04</x:v>
      </x:c>
      <x:c r="B43" s="38" t="str">
        <x:v>Mouse</x:v>
      </x:c>
      <x:c r="C43" s="38" t="str">
        <x:v>Assign known-good USB mouse</x:v>
      </x:c>
      <x:c r="D43" s="38" t="str"/>
      <x:c r="E43" s="38"/>
      <x:c r="F43" s="38" t="str"/>
      <x:c r="G43" s="38" t="str">
        <x:v>Unverified</x:v>
      </x:c>
      <x:c r="H43" s="38" t="str"/>
      <x:c r="I43" s="38" t="str"/>
      <x:c r="J43" s="39" t="str"/>
    </x:row>
    <x:row r="44">
      <x:c r="A44" s="43" t="str">
        <x:v>BENCH-04</x:v>
      </x:c>
      <x:c r="B44" s="44" t="str">
        <x:v>Bench platform / ESD</x:v>
      </x:c>
      <x:c r="C44" s="44" t="str">
        <x:v>OpenBenchTable + antistatic mat</x:v>
      </x:c>
      <x:c r="D44" s="44" t="str">
        <x:v>OpenBenchTable / IFIXIT</x:v>
      </x:c>
      <x:c r="E44" s="44" t="n">
        <x:v>4</x:v>
      </x:c>
      <x:c r="F44" s="44" t="str"/>
      <x:c r="G44" s="44" t="str">
        <x:v>Unverified</x:v>
      </x:c>
      <x:c r="H44" s="44" t="str"/>
      <x:c r="I44" s="44" t="str"/>
      <x:c r="J44" s="45" t="str"/>
    </x:row>
  </x:sheetData>
  <x:mergeCells>
    <x:mergeCell ref="A1:J1"/>
    <x:mergeCell ref="A2:J2"/>
  </x:mergeCells>
  <x:conditionalFormatting sqref="G5:G44">
    <x:cfRule type="containsText" dxfId="0" priority="1" operator="containsText" text="Ready"/>
    <x:cfRule type="containsText" dxfId="1" priority="2" operator="containsText" text="Pass"/>
    <x:cfRule type="containsText" dxfId="2" priority="3" operator="containsText" text="Blocked"/>
    <x:cfRule type="containsText" dxfId="3" priority="4" operator="containsText" text="Fail"/>
    <x:cfRule type="containsText" dxfId="4" priority="5" operator="containsText" text="Unverified"/>
    <x:cfRule type="containsText" dxfId="5" priority="6" operator="containsText" text="Not"/>
  </x:conditionalFormatting>
  <x:dataValidations count="3">
    <x:dataValidation type="list" sqref="F5:F44">
      <x:formula1>"Pass,Fail,Not tested"</x:formula1>
    </x:dataValidation>
    <x:dataValidation type="list" sqref="G5:G44">
      <x:formula1>"Unverified,Verified,Missing,Failed"</x:formula1>
    </x:dataValidation>
    <x:dataValidation type="list" sqref="H5:H44">
      <x:formula1>"BENCH,GREEN — known-good,RED — staged fault,GRAY — quarantine"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4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Tools &amp; Consumables</x:v>
      </x:c>
      <x:c r="B1" s="3"/>
      <x:c r="C1" s="3"/>
      <x:c r="D1" s="3"/>
      <x:c r="E1" s="3"/>
      <x:c r="F1" s="3"/>
      <x:c r="G1" s="3"/>
      <x:c r="H1" s="3"/>
    </x:row>
    <x:row r="2">
      <x:c r="A2" s="7" t="str">
        <x:v>Test tools with installed consumables; ‘Working’ in the old inventory is not sufficient without a current function test</x:v>
      </x:c>
      <x:c r="B2" s="7"/>
      <x:c r="C2" s="7"/>
      <x:c r="D2" s="7"/>
      <x:c r="E2" s="7"/>
      <x:c r="F2" s="7"/>
      <x:c r="G2" s="7"/>
      <x:c r="H2" s="7"/>
    </x:row>
    <x:row r="4">
      <x:c r="A4" s="20" t="str">
        <x:v>Bench</x:v>
      </x:c>
      <x:c r="B4" s="21" t="str">
        <x:v>Required resource</x:v>
      </x:c>
      <x:c r="C4" s="21" t="str">
        <x:v>Source quantity</x:v>
      </x:c>
      <x:c r="D4" s="21" t="str">
        <x:v>Source condition</x:v>
      </x:c>
      <x:c r="E4" s="21" t="str">
        <x:v>Consumable / accessory</x:v>
      </x:c>
      <x:c r="F4" s="21" t="str">
        <x:v>Readiness</x:v>
      </x:c>
      <x:c r="G4" s="21" t="str">
        <x:v>Test date</x:v>
      </x:c>
      <x:c r="H4" s="22" t="str">
        <x:v>Notes</x:v>
      </x:c>
    </x:row>
    <x:row r="5">
      <x:c r="A5" s="37" t="str">
        <x:v>BENCH-01</x:v>
      </x:c>
      <x:c r="B5" s="38" t="str">
        <x:v>IFIXIT Repair Business Toolkit</x:v>
      </x:c>
      <x:c r="C5" s="38" t="n">
        <x:v>4</x:v>
      </x:c>
      <x:c r="D5" s="38" t="str">
        <x:v>New</x:v>
      </x:c>
      <x:c r="E5" s="38" t="str">
        <x:v>Bits complete</x:v>
      </x:c>
      <x:c r="F5" s="38" t="str">
        <x:v>Unverified</x:v>
      </x:c>
      <x:c r="G5" s="38" t="str"/>
      <x:c r="H5" s="39" t="str"/>
    </x:row>
    <x:row r="6">
      <x:c r="A6" s="37" t="str">
        <x:v>BENCH-01</x:v>
      </x:c>
      <x:c r="B6" s="38" t="str">
        <x:v>OpenBenchTable Debug Card</x:v>
      </x:c>
      <x:c r="C6" s="38" t="n">
        <x:v>4</x:v>
      </x:c>
      <x:c r="D6" s="38" t="str">
        <x:v>New</x:v>
      </x:c>
      <x:c r="E6" s="38" t="str">
        <x:v>Known-good reference card / manual</x:v>
      </x:c>
      <x:c r="F6" s="38" t="str">
        <x:v>Unverified</x:v>
      </x:c>
      <x:c r="G6" s="38" t="str"/>
      <x:c r="H6" s="39" t="str"/>
    </x:row>
    <x:row r="7">
      <x:c r="A7" s="37" t="str">
        <x:v>BENCH-01</x:v>
      </x:c>
      <x:c r="B7" s="38" t="str">
        <x:v>Power Supply Tester</x:v>
      </x:c>
      <x:c r="C7" s="38" t="n">
        <x:v>5</x:v>
      </x:c>
      <x:c r="D7" s="38" t="str">
        <x:v>Working</x:v>
      </x:c>
      <x:c r="E7" s="38" t="str">
        <x:v>Connector labels legible</x:v>
      </x:c>
      <x:c r="F7" s="38" t="str">
        <x:v>Unverified</x:v>
      </x:c>
      <x:c r="G7" s="38" t="str"/>
      <x:c r="H7" s="39" t="str"/>
    </x:row>
    <x:row r="8">
      <x:c r="A8" s="37" t="str">
        <x:v>BENCH-01</x:v>
      </x:c>
      <x:c r="B8" s="38" t="str">
        <x:v>Fluke multimeter</x:v>
      </x:c>
      <x:c r="C8" s="38" t="n">
        <x:v>11</x:v>
      </x:c>
      <x:c r="D8" s="38" t="str">
        <x:v>Working; notes say needs 9V</x:v>
      </x:c>
      <x:c r="E8" s="38" t="str">
        <x:v>9V battery + intact leads + fuse check</x:v>
      </x:c>
      <x:c r="F8" s="38" t="str">
        <x:v>Unverified</x:v>
      </x:c>
      <x:c r="G8" s="38" t="str"/>
      <x:c r="H8" s="39" t="str"/>
    </x:row>
    <x:row r="9">
      <x:c r="A9" s="37" t="str">
        <x:v>BENCH-01</x:v>
      </x:c>
      <x:c r="B9" s="38" t="str">
        <x:v>ESD mat / project tray</x:v>
      </x:c>
      <x:c r="C9" s="38" t="n">
        <x:v>24</x:v>
      </x:c>
      <x:c r="D9" s="38" t="str">
        <x:v>New / used mix</x:v>
      </x:c>
      <x:c r="E9" s="38" t="str">
        <x:v>Ground lead where applicable</x:v>
      </x:c>
      <x:c r="F9" s="38" t="str">
        <x:v>Unverified</x:v>
      </x:c>
      <x:c r="G9" s="38" t="str"/>
      <x:c r="H9" s="39" t="str"/>
    </x:row>
    <x:row r="10">
      <x:c r="A10" s="37" t="str">
        <x:v>BENCH-01</x:v>
      </x:c>
      <x:c r="B10" s="38" t="str">
        <x:v>Known-good boot/display media</x:v>
      </x:c>
      <x:c r="C10" s="38"/>
      <x:c r="D10" s="38" t="str">
        <x:v>Not identified</x:v>
      </x:c>
      <x:c r="E10" s="38" t="str">
        <x:v>Boot USB or diagnostic media</x:v>
      </x:c>
      <x:c r="F10" s="38" t="str">
        <x:v>Unverified</x:v>
      </x:c>
      <x:c r="G10" s="38" t="str"/>
      <x:c r="H10" s="39" t="str"/>
    </x:row>
    <x:row r="11">
      <x:c r="A11" s="37" t="str">
        <x:v>BENCH-01</x:v>
      </x:c>
      <x:c r="B11" s="38" t="str">
        <x:v>Keyboard, mouse, display cables</x:v>
      </x:c>
      <x:c r="C11" s="38"/>
      <x:c r="D11" s="38" t="str">
        <x:v>Not fully inventoried</x:v>
      </x:c>
      <x:c r="E11" s="38" t="str">
        <x:v>One verified set per bench</x:v>
      </x:c>
      <x:c r="F11" s="38" t="str">
        <x:v>Unverified</x:v>
      </x:c>
      <x:c r="G11" s="38" t="str"/>
      <x:c r="H11" s="39" t="str"/>
    </x:row>
    <x:row r="12">
      <x:c r="A12" s="37" t="str">
        <x:v>BENCH-01</x:v>
      </x:c>
      <x:c r="B12" s="38" t="str">
        <x:v>CMOS batteries</x:v>
      </x:c>
      <x:c r="C12" s="38"/>
      <x:c r="D12" s="38" t="str">
        <x:v>Not inventoried</x:v>
      </x:c>
      <x:c r="E12" s="38" t="str">
        <x:v>Known-good CR2032 spares</x:v>
      </x:c>
      <x:c r="F12" s="38" t="str">
        <x:v>Unverified</x:v>
      </x:c>
      <x:c r="G12" s="38" t="str"/>
      <x:c r="H12" s="39" t="str"/>
    </x:row>
    <x:row r="13">
      <x:c r="A13" s="37" t="str">
        <x:v>BENCH-01</x:v>
      </x:c>
      <x:c r="B13" s="38" t="str">
        <x:v>Safety / cleanup</x:v>
      </x:c>
      <x:c r="C13" s="38"/>
      <x:c r="D13" s="38" t="str">
        <x:v>Partial</x:v>
      </x:c>
      <x:c r="E13" s="38" t="str">
        <x:v>IPA, wipes, cable ties, screw assortment</x:v>
      </x:c>
      <x:c r="F13" s="38" t="str">
        <x:v>Unverified</x:v>
      </x:c>
      <x:c r="G13" s="38" t="str"/>
      <x:c r="H13" s="39" t="str"/>
    </x:row>
    <x:row r="14">
      <x:c r="A14" s="37" t="str">
        <x:v>BENCH-02</x:v>
      </x:c>
      <x:c r="B14" s="38" t="str">
        <x:v>IFIXIT Repair Business Toolkit</x:v>
      </x:c>
      <x:c r="C14" s="38" t="n">
        <x:v>4</x:v>
      </x:c>
      <x:c r="D14" s="38" t="str">
        <x:v>New</x:v>
      </x:c>
      <x:c r="E14" s="38" t="str">
        <x:v>Bits complete</x:v>
      </x:c>
      <x:c r="F14" s="38" t="str">
        <x:v>Unverified</x:v>
      </x:c>
      <x:c r="G14" s="38" t="str"/>
      <x:c r="H14" s="39" t="str"/>
    </x:row>
    <x:row r="15">
      <x:c r="A15" s="37" t="str">
        <x:v>BENCH-02</x:v>
      </x:c>
      <x:c r="B15" s="38" t="str">
        <x:v>OpenBenchTable Debug Card</x:v>
      </x:c>
      <x:c r="C15" s="38" t="n">
        <x:v>4</x:v>
      </x:c>
      <x:c r="D15" s="38" t="str">
        <x:v>New</x:v>
      </x:c>
      <x:c r="E15" s="38" t="str">
        <x:v>Known-good reference card / manual</x:v>
      </x:c>
      <x:c r="F15" s="38" t="str">
        <x:v>Unverified</x:v>
      </x:c>
      <x:c r="G15" s="38" t="str"/>
      <x:c r="H15" s="39" t="str"/>
    </x:row>
    <x:row r="16">
      <x:c r="A16" s="37" t="str">
        <x:v>BENCH-02</x:v>
      </x:c>
      <x:c r="B16" s="38" t="str">
        <x:v>Power Supply Tester</x:v>
      </x:c>
      <x:c r="C16" s="38" t="n">
        <x:v>5</x:v>
      </x:c>
      <x:c r="D16" s="38" t="str">
        <x:v>Working</x:v>
      </x:c>
      <x:c r="E16" s="38" t="str">
        <x:v>Connector labels legible</x:v>
      </x:c>
      <x:c r="F16" s="38" t="str">
        <x:v>Unverified</x:v>
      </x:c>
      <x:c r="G16" s="38" t="str"/>
      <x:c r="H16" s="39" t="str"/>
    </x:row>
    <x:row r="17">
      <x:c r="A17" s="37" t="str">
        <x:v>BENCH-02</x:v>
      </x:c>
      <x:c r="B17" s="38" t="str">
        <x:v>Fluke multimeter</x:v>
      </x:c>
      <x:c r="C17" s="38" t="n">
        <x:v>11</x:v>
      </x:c>
      <x:c r="D17" s="38" t="str">
        <x:v>Working; notes say needs 9V</x:v>
      </x:c>
      <x:c r="E17" s="38" t="str">
        <x:v>9V battery + intact leads + fuse check</x:v>
      </x:c>
      <x:c r="F17" s="38" t="str">
        <x:v>Unverified</x:v>
      </x:c>
      <x:c r="G17" s="38" t="str"/>
      <x:c r="H17" s="39" t="str"/>
    </x:row>
    <x:row r="18">
      <x:c r="A18" s="37" t="str">
        <x:v>BENCH-02</x:v>
      </x:c>
      <x:c r="B18" s="38" t="str">
        <x:v>ESD mat / project tray</x:v>
      </x:c>
      <x:c r="C18" s="38" t="n">
        <x:v>24</x:v>
      </x:c>
      <x:c r="D18" s="38" t="str">
        <x:v>New / used mix</x:v>
      </x:c>
      <x:c r="E18" s="38" t="str">
        <x:v>Ground lead where applicable</x:v>
      </x:c>
      <x:c r="F18" s="38" t="str">
        <x:v>Unverified</x:v>
      </x:c>
      <x:c r="G18" s="38" t="str"/>
      <x:c r="H18" s="39" t="str"/>
    </x:row>
    <x:row r="19">
      <x:c r="A19" s="37" t="str">
        <x:v>BENCH-02</x:v>
      </x:c>
      <x:c r="B19" s="38" t="str">
        <x:v>Known-good boot/display media</x:v>
      </x:c>
      <x:c r="C19" s="38"/>
      <x:c r="D19" s="38" t="str">
        <x:v>Not identified</x:v>
      </x:c>
      <x:c r="E19" s="38" t="str">
        <x:v>Boot USB or diagnostic media</x:v>
      </x:c>
      <x:c r="F19" s="38" t="str">
        <x:v>Unverified</x:v>
      </x:c>
      <x:c r="G19" s="38" t="str"/>
      <x:c r="H19" s="39" t="str"/>
    </x:row>
    <x:row r="20">
      <x:c r="A20" s="37" t="str">
        <x:v>BENCH-02</x:v>
      </x:c>
      <x:c r="B20" s="38" t="str">
        <x:v>Keyboard, mouse, display cables</x:v>
      </x:c>
      <x:c r="C20" s="38"/>
      <x:c r="D20" s="38" t="str">
        <x:v>Not fully inventoried</x:v>
      </x:c>
      <x:c r="E20" s="38" t="str">
        <x:v>One verified set per bench</x:v>
      </x:c>
      <x:c r="F20" s="38" t="str">
        <x:v>Unverified</x:v>
      </x:c>
      <x:c r="G20" s="38" t="str"/>
      <x:c r="H20" s="39" t="str"/>
    </x:row>
    <x:row r="21">
      <x:c r="A21" s="37" t="str">
        <x:v>BENCH-02</x:v>
      </x:c>
      <x:c r="B21" s="38" t="str">
        <x:v>CMOS batteries</x:v>
      </x:c>
      <x:c r="C21" s="38"/>
      <x:c r="D21" s="38" t="str">
        <x:v>Not inventoried</x:v>
      </x:c>
      <x:c r="E21" s="38" t="str">
        <x:v>Known-good CR2032 spares</x:v>
      </x:c>
      <x:c r="F21" s="38" t="str">
        <x:v>Unverified</x:v>
      </x:c>
      <x:c r="G21" s="38" t="str"/>
      <x:c r="H21" s="39" t="str"/>
    </x:row>
    <x:row r="22">
      <x:c r="A22" s="37" t="str">
        <x:v>BENCH-02</x:v>
      </x:c>
      <x:c r="B22" s="38" t="str">
        <x:v>Safety / cleanup</x:v>
      </x:c>
      <x:c r="C22" s="38"/>
      <x:c r="D22" s="38" t="str">
        <x:v>Partial</x:v>
      </x:c>
      <x:c r="E22" s="38" t="str">
        <x:v>IPA, wipes, cable ties, screw assortment</x:v>
      </x:c>
      <x:c r="F22" s="38" t="str">
        <x:v>Unverified</x:v>
      </x:c>
      <x:c r="G22" s="38" t="str"/>
      <x:c r="H22" s="39" t="str"/>
    </x:row>
    <x:row r="23">
      <x:c r="A23" s="37" t="str">
        <x:v>BENCH-03</x:v>
      </x:c>
      <x:c r="B23" s="38" t="str">
        <x:v>IFIXIT Repair Business Toolkit</x:v>
      </x:c>
      <x:c r="C23" s="38" t="n">
        <x:v>4</x:v>
      </x:c>
      <x:c r="D23" s="38" t="str">
        <x:v>New</x:v>
      </x:c>
      <x:c r="E23" s="38" t="str">
        <x:v>Bits complete</x:v>
      </x:c>
      <x:c r="F23" s="38" t="str">
        <x:v>Unverified</x:v>
      </x:c>
      <x:c r="G23" s="38" t="str"/>
      <x:c r="H23" s="39" t="str"/>
    </x:row>
    <x:row r="24">
      <x:c r="A24" s="37" t="str">
        <x:v>BENCH-03</x:v>
      </x:c>
      <x:c r="B24" s="38" t="str">
        <x:v>OpenBenchTable Debug Card</x:v>
      </x:c>
      <x:c r="C24" s="38" t="n">
        <x:v>4</x:v>
      </x:c>
      <x:c r="D24" s="38" t="str">
        <x:v>New</x:v>
      </x:c>
      <x:c r="E24" s="38" t="str">
        <x:v>Known-good reference card / manual</x:v>
      </x:c>
      <x:c r="F24" s="38" t="str">
        <x:v>Unverified</x:v>
      </x:c>
      <x:c r="G24" s="38" t="str"/>
      <x:c r="H24" s="39" t="str"/>
    </x:row>
    <x:row r="25">
      <x:c r="A25" s="37" t="str">
        <x:v>BENCH-03</x:v>
      </x:c>
      <x:c r="B25" s="38" t="str">
        <x:v>Power Supply Tester</x:v>
      </x:c>
      <x:c r="C25" s="38" t="n">
        <x:v>5</x:v>
      </x:c>
      <x:c r="D25" s="38" t="str">
        <x:v>Working</x:v>
      </x:c>
      <x:c r="E25" s="38" t="str">
        <x:v>Connector labels legible</x:v>
      </x:c>
      <x:c r="F25" s="38" t="str">
        <x:v>Unverified</x:v>
      </x:c>
      <x:c r="G25" s="38" t="str"/>
      <x:c r="H25" s="39" t="str"/>
    </x:row>
    <x:row r="26">
      <x:c r="A26" s="37" t="str">
        <x:v>BENCH-03</x:v>
      </x:c>
      <x:c r="B26" s="38" t="str">
        <x:v>Fluke multimeter</x:v>
      </x:c>
      <x:c r="C26" s="38" t="n">
        <x:v>11</x:v>
      </x:c>
      <x:c r="D26" s="38" t="str">
        <x:v>Working; notes say needs 9V</x:v>
      </x:c>
      <x:c r="E26" s="38" t="str">
        <x:v>9V battery + intact leads + fuse check</x:v>
      </x:c>
      <x:c r="F26" s="38" t="str">
        <x:v>Unverified</x:v>
      </x:c>
      <x:c r="G26" s="38" t="str"/>
      <x:c r="H26" s="39" t="str"/>
    </x:row>
    <x:row r="27">
      <x:c r="A27" s="37" t="str">
        <x:v>BENCH-03</x:v>
      </x:c>
      <x:c r="B27" s="38" t="str">
        <x:v>ESD mat / project tray</x:v>
      </x:c>
      <x:c r="C27" s="38" t="n">
        <x:v>24</x:v>
      </x:c>
      <x:c r="D27" s="38" t="str">
        <x:v>New / used mix</x:v>
      </x:c>
      <x:c r="E27" s="38" t="str">
        <x:v>Ground lead where applicable</x:v>
      </x:c>
      <x:c r="F27" s="38" t="str">
        <x:v>Unverified</x:v>
      </x:c>
      <x:c r="G27" s="38" t="str"/>
      <x:c r="H27" s="39" t="str"/>
    </x:row>
    <x:row r="28">
      <x:c r="A28" s="37" t="str">
        <x:v>BENCH-03</x:v>
      </x:c>
      <x:c r="B28" s="38" t="str">
        <x:v>Known-good boot/display media</x:v>
      </x:c>
      <x:c r="C28" s="38"/>
      <x:c r="D28" s="38" t="str">
        <x:v>Not identified</x:v>
      </x:c>
      <x:c r="E28" s="38" t="str">
        <x:v>Boot USB or diagnostic media</x:v>
      </x:c>
      <x:c r="F28" s="38" t="str">
        <x:v>Unverified</x:v>
      </x:c>
      <x:c r="G28" s="38" t="str"/>
      <x:c r="H28" s="39" t="str"/>
    </x:row>
    <x:row r="29">
      <x:c r="A29" s="37" t="str">
        <x:v>BENCH-03</x:v>
      </x:c>
      <x:c r="B29" s="38" t="str">
        <x:v>Keyboard, mouse, display cables</x:v>
      </x:c>
      <x:c r="C29" s="38"/>
      <x:c r="D29" s="38" t="str">
        <x:v>Not fully inventoried</x:v>
      </x:c>
      <x:c r="E29" s="38" t="str">
        <x:v>One verified set per bench</x:v>
      </x:c>
      <x:c r="F29" s="38" t="str">
        <x:v>Unverified</x:v>
      </x:c>
      <x:c r="G29" s="38" t="str"/>
      <x:c r="H29" s="39" t="str"/>
    </x:row>
    <x:row r="30">
      <x:c r="A30" s="37" t="str">
        <x:v>BENCH-03</x:v>
      </x:c>
      <x:c r="B30" s="38" t="str">
        <x:v>CMOS batteries</x:v>
      </x:c>
      <x:c r="C30" s="38"/>
      <x:c r="D30" s="38" t="str">
        <x:v>Not inventoried</x:v>
      </x:c>
      <x:c r="E30" s="38" t="str">
        <x:v>Known-good CR2032 spares</x:v>
      </x:c>
      <x:c r="F30" s="38" t="str">
        <x:v>Unverified</x:v>
      </x:c>
      <x:c r="G30" s="38" t="str"/>
      <x:c r="H30" s="39" t="str"/>
    </x:row>
    <x:row r="31">
      <x:c r="A31" s="37" t="str">
        <x:v>BENCH-03</x:v>
      </x:c>
      <x:c r="B31" s="38" t="str">
        <x:v>Safety / cleanup</x:v>
      </x:c>
      <x:c r="C31" s="38"/>
      <x:c r="D31" s="38" t="str">
        <x:v>Partial</x:v>
      </x:c>
      <x:c r="E31" s="38" t="str">
        <x:v>IPA, wipes, cable ties, screw assortment</x:v>
      </x:c>
      <x:c r="F31" s="38" t="str">
        <x:v>Unverified</x:v>
      </x:c>
      <x:c r="G31" s="38" t="str"/>
      <x:c r="H31" s="39" t="str"/>
    </x:row>
    <x:row r="32">
      <x:c r="A32" s="37" t="str">
        <x:v>BENCH-04</x:v>
      </x:c>
      <x:c r="B32" s="38" t="str">
        <x:v>IFIXIT Repair Business Toolkit</x:v>
      </x:c>
      <x:c r="C32" s="38" t="n">
        <x:v>4</x:v>
      </x:c>
      <x:c r="D32" s="38" t="str">
        <x:v>New</x:v>
      </x:c>
      <x:c r="E32" s="38" t="str">
        <x:v>Bits complete</x:v>
      </x:c>
      <x:c r="F32" s="38" t="str">
        <x:v>Unverified</x:v>
      </x:c>
      <x:c r="G32" s="38" t="str"/>
      <x:c r="H32" s="39" t="str"/>
    </x:row>
    <x:row r="33">
      <x:c r="A33" s="37" t="str">
        <x:v>BENCH-04</x:v>
      </x:c>
      <x:c r="B33" s="38" t="str">
        <x:v>OpenBenchTable Debug Card</x:v>
      </x:c>
      <x:c r="C33" s="38" t="n">
        <x:v>4</x:v>
      </x:c>
      <x:c r="D33" s="38" t="str">
        <x:v>New</x:v>
      </x:c>
      <x:c r="E33" s="38" t="str">
        <x:v>Known-good reference card / manual</x:v>
      </x:c>
      <x:c r="F33" s="38" t="str">
        <x:v>Unverified</x:v>
      </x:c>
      <x:c r="G33" s="38" t="str"/>
      <x:c r="H33" s="39" t="str"/>
    </x:row>
    <x:row r="34">
      <x:c r="A34" s="37" t="str">
        <x:v>BENCH-04</x:v>
      </x:c>
      <x:c r="B34" s="38" t="str">
        <x:v>Power Supply Tester</x:v>
      </x:c>
      <x:c r="C34" s="38" t="n">
        <x:v>5</x:v>
      </x:c>
      <x:c r="D34" s="38" t="str">
        <x:v>Working</x:v>
      </x:c>
      <x:c r="E34" s="38" t="str">
        <x:v>Connector labels legible</x:v>
      </x:c>
      <x:c r="F34" s="38" t="str">
        <x:v>Unverified</x:v>
      </x:c>
      <x:c r="G34" s="38" t="str"/>
      <x:c r="H34" s="39" t="str"/>
    </x:row>
    <x:row r="35">
      <x:c r="A35" s="37" t="str">
        <x:v>BENCH-04</x:v>
      </x:c>
      <x:c r="B35" s="38" t="str">
        <x:v>Fluke multimeter</x:v>
      </x:c>
      <x:c r="C35" s="38" t="n">
        <x:v>11</x:v>
      </x:c>
      <x:c r="D35" s="38" t="str">
        <x:v>Working; notes say needs 9V</x:v>
      </x:c>
      <x:c r="E35" s="38" t="str">
        <x:v>9V battery + intact leads + fuse check</x:v>
      </x:c>
      <x:c r="F35" s="38" t="str">
        <x:v>Unverified</x:v>
      </x:c>
      <x:c r="G35" s="38" t="str"/>
      <x:c r="H35" s="39" t="str"/>
    </x:row>
    <x:row r="36">
      <x:c r="A36" s="37" t="str">
        <x:v>BENCH-04</x:v>
      </x:c>
      <x:c r="B36" s="38" t="str">
        <x:v>ESD mat / project tray</x:v>
      </x:c>
      <x:c r="C36" s="38" t="n">
        <x:v>24</x:v>
      </x:c>
      <x:c r="D36" s="38" t="str">
        <x:v>New / used mix</x:v>
      </x:c>
      <x:c r="E36" s="38" t="str">
        <x:v>Ground lead where applicable</x:v>
      </x:c>
      <x:c r="F36" s="38" t="str">
        <x:v>Unverified</x:v>
      </x:c>
      <x:c r="G36" s="38" t="str"/>
      <x:c r="H36" s="39" t="str"/>
    </x:row>
    <x:row r="37">
      <x:c r="A37" s="37" t="str">
        <x:v>BENCH-04</x:v>
      </x:c>
      <x:c r="B37" s="38" t="str">
        <x:v>Known-good boot/display media</x:v>
      </x:c>
      <x:c r="C37" s="38"/>
      <x:c r="D37" s="38" t="str">
        <x:v>Not identified</x:v>
      </x:c>
      <x:c r="E37" s="38" t="str">
        <x:v>Boot USB or diagnostic media</x:v>
      </x:c>
      <x:c r="F37" s="38" t="str">
        <x:v>Unverified</x:v>
      </x:c>
      <x:c r="G37" s="38" t="str"/>
      <x:c r="H37" s="39" t="str"/>
    </x:row>
    <x:row r="38">
      <x:c r="A38" s="37" t="str">
        <x:v>BENCH-04</x:v>
      </x:c>
      <x:c r="B38" s="38" t="str">
        <x:v>Keyboard, mouse, display cables</x:v>
      </x:c>
      <x:c r="C38" s="38"/>
      <x:c r="D38" s="38" t="str">
        <x:v>Not fully inventoried</x:v>
      </x:c>
      <x:c r="E38" s="38" t="str">
        <x:v>One verified set per bench</x:v>
      </x:c>
      <x:c r="F38" s="38" t="str">
        <x:v>Unverified</x:v>
      </x:c>
      <x:c r="G38" s="38" t="str"/>
      <x:c r="H38" s="39" t="str"/>
    </x:row>
    <x:row r="39">
      <x:c r="A39" s="37" t="str">
        <x:v>BENCH-04</x:v>
      </x:c>
      <x:c r="B39" s="38" t="str">
        <x:v>CMOS batteries</x:v>
      </x:c>
      <x:c r="C39" s="38"/>
      <x:c r="D39" s="38" t="str">
        <x:v>Not inventoried</x:v>
      </x:c>
      <x:c r="E39" s="38" t="str">
        <x:v>Known-good CR2032 spares</x:v>
      </x:c>
      <x:c r="F39" s="38" t="str">
        <x:v>Unverified</x:v>
      </x:c>
      <x:c r="G39" s="38" t="str"/>
      <x:c r="H39" s="39" t="str"/>
    </x:row>
    <x:row r="40">
      <x:c r="A40" s="43" t="str">
        <x:v>BENCH-04</x:v>
      </x:c>
      <x:c r="B40" s="44" t="str">
        <x:v>Safety / cleanup</x:v>
      </x:c>
      <x:c r="C40" s="44"/>
      <x:c r="D40" s="44" t="str">
        <x:v>Partial</x:v>
      </x:c>
      <x:c r="E40" s="44" t="str">
        <x:v>IPA, wipes, cable ties, screw assortment</x:v>
      </x:c>
      <x:c r="F40" s="44" t="str">
        <x:v>Unverified</x:v>
      </x:c>
      <x:c r="G40" s="44" t="str"/>
      <x:c r="H40" s="45" t="str"/>
    </x:row>
  </x:sheetData>
  <x:mergeCells>
    <x:mergeCell ref="A1:H1"/>
    <x:mergeCell ref="A2:H2"/>
  </x:mergeCells>
  <x:conditionalFormatting sqref="F5:F40">
    <x:cfRule type="containsText" dxfId="6" priority="1" operator="containsText" text="Ready"/>
    <x:cfRule type="containsText" dxfId="7" priority="2" operator="containsText" text="Pass"/>
    <x:cfRule type="containsText" dxfId="8" priority="3" operator="containsText" text="Blocked"/>
    <x:cfRule type="containsText" dxfId="9" priority="4" operator="containsText" text="Fail"/>
    <x:cfRule type="containsText" dxfId="10" priority="5" operator="containsText" text="Unverified"/>
    <x:cfRule type="containsText" dxfId="11" priority="6" operator="containsText" text="Not"/>
  </x:conditionalFormatting>
  <x:dataValidations count="1">
    <x:dataValidation type="list" sqref="F5:F40">
      <x:formula1>"Unverified,Ready,Blocked,Not required"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3" t="str">
        <x:v>Known-Good, Staged-Fault, and Quarantine Control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7" t="str">
        <x:v>Every movable part gets one state and one labeled storage location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0" t="str">
        <x:v>Item ID / label</x:v>
      </x:c>
      <x:c r="B4" s="21" t="str">
        <x:v>Part type</x:v>
      </x:c>
      <x:c r="C4" s="21" t="str">
        <x:v>Compatible benches</x:v>
      </x:c>
      <x:c r="D4" s="21" t="str">
        <x:v>State</x:v>
      </x:c>
      <x:c r="E4" s="21" t="str">
        <x:v>Fault behavior</x:v>
      </x:c>
      <x:c r="F4" s="21" t="str">
        <x:v>Setup method</x:v>
      </x:c>
      <x:c r="G4" s="21" t="str">
        <x:v>Reset method</x:v>
      </x:c>
      <x:c r="H4" s="21" t="str">
        <x:v>Storage location</x:v>
      </x:c>
      <x:c r="I4" s="22" t="str">
        <x:v>Last verified</x:v>
      </x:c>
    </x:row>
    <x:row r="5">
      <x:c r="A5" s="37" t="str">
        <x:v>PART-01</x:v>
      </x:c>
      <x:c r="B5" s="38" t="str"/>
      <x:c r="C5" s="38" t="str">
        <x:v>BENCH-01–04</x:v>
      </x:c>
      <x:c r="D5" s="38" t="str">
        <x:v>GREEN — known-good</x:v>
      </x:c>
      <x:c r="E5" s="38" t="str"/>
      <x:c r="F5" s="38" t="str"/>
      <x:c r="G5" s="38" t="str"/>
      <x:c r="H5" s="38" t="str"/>
      <x:c r="I5" s="39" t="str"/>
    </x:row>
    <x:row r="6">
      <x:c r="A6" s="37" t="str">
        <x:v>PART-02</x:v>
      </x:c>
      <x:c r="B6" s="38" t="str"/>
      <x:c r="C6" s="38" t="str">
        <x:v>BENCH-01–04</x:v>
      </x:c>
      <x:c r="D6" s="38" t="str">
        <x:v>GREEN — known-good</x:v>
      </x:c>
      <x:c r="E6" s="38" t="str"/>
      <x:c r="F6" s="38" t="str"/>
      <x:c r="G6" s="38" t="str"/>
      <x:c r="H6" s="38" t="str"/>
      <x:c r="I6" s="39" t="str"/>
    </x:row>
    <x:row r="7">
      <x:c r="A7" s="37" t="str">
        <x:v>PART-03</x:v>
      </x:c>
      <x:c r="B7" s="38" t="str"/>
      <x:c r="C7" s="38" t="str">
        <x:v>BENCH-01–04</x:v>
      </x:c>
      <x:c r="D7" s="38" t="str">
        <x:v>GREEN — known-good</x:v>
      </x:c>
      <x:c r="E7" s="38" t="str"/>
      <x:c r="F7" s="38" t="str"/>
      <x:c r="G7" s="38" t="str"/>
      <x:c r="H7" s="38" t="str"/>
      <x:c r="I7" s="39" t="str"/>
    </x:row>
    <x:row r="8">
      <x:c r="A8" s="37" t="str">
        <x:v>PART-04</x:v>
      </x:c>
      <x:c r="B8" s="38" t="str"/>
      <x:c r="C8" s="38" t="str">
        <x:v>BENCH-01–04</x:v>
      </x:c>
      <x:c r="D8" s="38" t="str">
        <x:v>GREEN — known-good</x:v>
      </x:c>
      <x:c r="E8" s="38" t="str"/>
      <x:c r="F8" s="38" t="str"/>
      <x:c r="G8" s="38" t="str"/>
      <x:c r="H8" s="38" t="str"/>
      <x:c r="I8" s="39" t="str"/>
    </x:row>
    <x:row r="9">
      <x:c r="A9" s="37" t="str">
        <x:v>PART-05</x:v>
      </x:c>
      <x:c r="B9" s="38" t="str"/>
      <x:c r="C9" s="38" t="str">
        <x:v>BENCH-01–04</x:v>
      </x:c>
      <x:c r="D9" s="38" t="str">
        <x:v>RED — staged fault</x:v>
      </x:c>
      <x:c r="E9" s="38" t="str"/>
      <x:c r="F9" s="38" t="str"/>
      <x:c r="G9" s="38" t="str"/>
      <x:c r="H9" s="38" t="str"/>
      <x:c r="I9" s="39" t="str"/>
    </x:row>
    <x:row r="10">
      <x:c r="A10" s="37" t="str">
        <x:v>PART-06</x:v>
      </x:c>
      <x:c r="B10" s="38" t="str"/>
      <x:c r="C10" s="38" t="str">
        <x:v>BENCH-01–04</x:v>
      </x:c>
      <x:c r="D10" s="38" t="str">
        <x:v>RED — staged fault</x:v>
      </x:c>
      <x:c r="E10" s="38" t="str"/>
      <x:c r="F10" s="38" t="str"/>
      <x:c r="G10" s="38" t="str"/>
      <x:c r="H10" s="38" t="str"/>
      <x:c r="I10" s="39" t="str"/>
    </x:row>
    <x:row r="11">
      <x:c r="A11" s="37" t="str">
        <x:v>PART-07</x:v>
      </x:c>
      <x:c r="B11" s="38" t="str"/>
      <x:c r="C11" s="38" t="str">
        <x:v>BENCH-01–04</x:v>
      </x:c>
      <x:c r="D11" s="38" t="str">
        <x:v>RED — staged fault</x:v>
      </x:c>
      <x:c r="E11" s="38" t="str"/>
      <x:c r="F11" s="38" t="str"/>
      <x:c r="G11" s="38" t="str"/>
      <x:c r="H11" s="38" t="str"/>
      <x:c r="I11" s="39" t="str"/>
    </x:row>
    <x:row r="12">
      <x:c r="A12" s="37" t="str">
        <x:v>PART-08</x:v>
      </x:c>
      <x:c r="B12" s="38" t="str"/>
      <x:c r="C12" s="38" t="str">
        <x:v>BENCH-01–04</x:v>
      </x:c>
      <x:c r="D12" s="38" t="str">
        <x:v>RED — staged fault</x:v>
      </x:c>
      <x:c r="E12" s="38" t="str"/>
      <x:c r="F12" s="38" t="str"/>
      <x:c r="G12" s="38" t="str"/>
      <x:c r="H12" s="38" t="str"/>
      <x:c r="I12" s="39" t="str"/>
    </x:row>
    <x:row r="13">
      <x:c r="A13" s="37" t="str">
        <x:v>PART-09</x:v>
      </x:c>
      <x:c r="B13" s="38" t="str"/>
      <x:c r="C13" s="38" t="str">
        <x:v>BENCH-01–04</x:v>
      </x:c>
      <x:c r="D13" s="38" t="str">
        <x:v>GRAY — quarantine</x:v>
      </x:c>
      <x:c r="E13" s="38" t="str"/>
      <x:c r="F13" s="38" t="str"/>
      <x:c r="G13" s="38" t="str"/>
      <x:c r="H13" s="38" t="str"/>
      <x:c r="I13" s="39" t="str"/>
    </x:row>
    <x:row r="14">
      <x:c r="A14" s="37" t="str">
        <x:v>PART-10</x:v>
      </x:c>
      <x:c r="B14" s="38" t="str"/>
      <x:c r="C14" s="38" t="str">
        <x:v>BENCH-01–04</x:v>
      </x:c>
      <x:c r="D14" s="38" t="str">
        <x:v>GRAY — quarantine</x:v>
      </x:c>
      <x:c r="E14" s="38" t="str"/>
      <x:c r="F14" s="38" t="str"/>
      <x:c r="G14" s="38" t="str"/>
      <x:c r="H14" s="38" t="str"/>
      <x:c r="I14" s="39" t="str"/>
    </x:row>
    <x:row r="15">
      <x:c r="A15" s="37" t="str">
        <x:v>PART-11</x:v>
      </x:c>
      <x:c r="B15" s="38" t="str"/>
      <x:c r="C15" s="38" t="str">
        <x:v>BENCH-01–04</x:v>
      </x:c>
      <x:c r="D15" s="38" t="str">
        <x:v>GRAY — quarantine</x:v>
      </x:c>
      <x:c r="E15" s="38" t="str"/>
      <x:c r="F15" s="38" t="str"/>
      <x:c r="G15" s="38" t="str"/>
      <x:c r="H15" s="38" t="str"/>
      <x:c r="I15" s="39" t="str"/>
    </x:row>
    <x:row r="16">
      <x:c r="A16" s="43" t="str">
        <x:v>PART-12</x:v>
      </x:c>
      <x:c r="B16" s="44" t="str"/>
      <x:c r="C16" s="44" t="str">
        <x:v>BENCH-01–04</x:v>
      </x:c>
      <x:c r="D16" s="44" t="str">
        <x:v>GRAY — quarantine</x:v>
      </x:c>
      <x:c r="E16" s="44" t="str"/>
      <x:c r="F16" s="44" t="str"/>
      <x:c r="G16" s="44" t="str"/>
      <x:c r="H16" s="44" t="str"/>
      <x:c r="I16" s="45" t="str"/>
    </x:row>
  </x:sheetData>
  <x:mergeCells>
    <x:mergeCell ref="A1:I1"/>
    <x:mergeCell ref="A2:I2"/>
  </x:mergeCells>
  <x:dataValidations count="1">
    <x:dataValidation type="list" sqref="D5:D16">
      <x:formula1>"GREEN — known-good,RED — staged fault,GRAY — quarantine"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" t="str">
        <x:v>Reset-Time Trials</x:v>
      </x:c>
      <x:c r="B1" s="3"/>
      <x:c r="C1" s="3"/>
      <x:c r="D1" s="3"/>
      <x:c r="E1" s="3"/>
      <x:c r="F1" s="3"/>
      <x:c r="G1" s="3"/>
      <x:c r="H1" s="3"/>
    </x:row>
    <x:row r="2">
      <x:c r="A2" s="7" t="str">
        <x:v>Time from student handoff state to clean, known baseline; target is 10:00 or less</x:v>
      </x:c>
      <x:c r="B2" s="7"/>
      <x:c r="C2" s="7"/>
      <x:c r="D2" s="7"/>
      <x:c r="E2" s="7"/>
      <x:c r="F2" s="7"/>
      <x:c r="G2" s="7"/>
      <x:c r="H2" s="7"/>
    </x:row>
    <x:row r="4">
      <x:c r="A4" s="20" t="str">
        <x:v>Bench</x:v>
      </x:c>
      <x:c r="B4" s="21" t="str">
        <x:v>Fault ID</x:v>
      </x:c>
      <x:c r="C4" s="21" t="str">
        <x:v>Fault name</x:v>
      </x:c>
      <x:c r="D4" s="21" t="str">
        <x:v>Trial date</x:v>
      </x:c>
      <x:c r="E4" s="21" t="str">
        <x:v>Instructor</x:v>
      </x:c>
      <x:c r="F4" s="21" t="str">
        <x:v>Minutes</x:v>
      </x:c>
      <x:c r="G4" s="21" t="str">
        <x:v>Result</x:v>
      </x:c>
      <x:c r="H4" s="22" t="str">
        <x:v>Reset notes / missing steps</x:v>
      </x:c>
    </x:row>
    <x:row r="5">
      <x:c r="A5" s="23" t="str">
        <x:v>BENCH-01</x:v>
      </x:c>
      <x:c r="B5" s="24" t="str"/>
      <x:c r="C5" s="24" t="str"/>
      <x:c r="D5" s="24" t="str"/>
      <x:c r="E5" s="24" t="str"/>
      <x:c r="F5" s="47"/>
      <x:c r="G5" s="24" t="str">
        <x:v>Not run</x:v>
      </x:c>
      <x:c r="H5" s="25" t="str"/>
    </x:row>
    <x:row r="6">
      <x:c r="A6" s="23" t="str">
        <x:v>BENCH-01</x:v>
      </x:c>
      <x:c r="B6" s="24" t="str"/>
      <x:c r="C6" s="24" t="str"/>
      <x:c r="D6" s="24" t="str"/>
      <x:c r="E6" s="24" t="str"/>
      <x:c r="F6" s="47"/>
      <x:c r="G6" s="24" t="str">
        <x:v>Not run</x:v>
      </x:c>
      <x:c r="H6" s="25" t="str"/>
    </x:row>
    <x:row r="7">
      <x:c r="A7" s="23" t="str">
        <x:v>BENCH-01</x:v>
      </x:c>
      <x:c r="B7" s="24" t="str"/>
      <x:c r="C7" s="24" t="str"/>
      <x:c r="D7" s="24" t="str"/>
      <x:c r="E7" s="24" t="str"/>
      <x:c r="F7" s="47"/>
      <x:c r="G7" s="24" t="str">
        <x:v>Not run</x:v>
      </x:c>
      <x:c r="H7" s="25" t="str"/>
    </x:row>
    <x:row r="8">
      <x:c r="A8" s="23" t="str">
        <x:v>BENCH-01</x:v>
      </x:c>
      <x:c r="B8" s="24" t="str"/>
      <x:c r="C8" s="24" t="str"/>
      <x:c r="D8" s="24" t="str"/>
      <x:c r="E8" s="24" t="str"/>
      <x:c r="F8" s="47"/>
      <x:c r="G8" s="24" t="str">
        <x:v>Not run</x:v>
      </x:c>
      <x:c r="H8" s="25" t="str"/>
    </x:row>
    <x:row r="9">
      <x:c r="A9" s="23" t="str">
        <x:v>BENCH-01</x:v>
      </x:c>
      <x:c r="B9" s="24" t="str"/>
      <x:c r="C9" s="24" t="str"/>
      <x:c r="D9" s="24" t="str"/>
      <x:c r="E9" s="24" t="str"/>
      <x:c r="F9" s="47"/>
      <x:c r="G9" s="24" t="str">
        <x:v>Not run</x:v>
      </x:c>
      <x:c r="H9" s="25" t="str"/>
    </x:row>
    <x:row r="10">
      <x:c r="A10" s="23" t="str">
        <x:v>BENCH-02</x:v>
      </x:c>
      <x:c r="B10" s="24" t="str"/>
      <x:c r="C10" s="24" t="str"/>
      <x:c r="D10" s="24" t="str"/>
      <x:c r="E10" s="24" t="str"/>
      <x:c r="F10" s="47"/>
      <x:c r="G10" s="24" t="str">
        <x:v>Not run</x:v>
      </x:c>
      <x:c r="H10" s="25" t="str"/>
    </x:row>
    <x:row r="11">
      <x:c r="A11" s="23" t="str">
        <x:v>BENCH-02</x:v>
      </x:c>
      <x:c r="B11" s="24" t="str"/>
      <x:c r="C11" s="24" t="str"/>
      <x:c r="D11" s="24" t="str"/>
      <x:c r="E11" s="24" t="str"/>
      <x:c r="F11" s="47"/>
      <x:c r="G11" s="24" t="str">
        <x:v>Not run</x:v>
      </x:c>
      <x:c r="H11" s="25" t="str"/>
    </x:row>
    <x:row r="12">
      <x:c r="A12" s="23" t="str">
        <x:v>BENCH-02</x:v>
      </x:c>
      <x:c r="B12" s="24" t="str"/>
      <x:c r="C12" s="24" t="str"/>
      <x:c r="D12" s="24" t="str"/>
      <x:c r="E12" s="24" t="str"/>
      <x:c r="F12" s="47"/>
      <x:c r="G12" s="24" t="str">
        <x:v>Not run</x:v>
      </x:c>
      <x:c r="H12" s="25" t="str"/>
    </x:row>
    <x:row r="13">
      <x:c r="A13" s="23" t="str">
        <x:v>BENCH-02</x:v>
      </x:c>
      <x:c r="B13" s="24" t="str"/>
      <x:c r="C13" s="24" t="str"/>
      <x:c r="D13" s="24" t="str"/>
      <x:c r="E13" s="24" t="str"/>
      <x:c r="F13" s="47"/>
      <x:c r="G13" s="24" t="str">
        <x:v>Not run</x:v>
      </x:c>
      <x:c r="H13" s="25" t="str"/>
    </x:row>
    <x:row r="14">
      <x:c r="A14" s="23" t="str">
        <x:v>BENCH-02</x:v>
      </x:c>
      <x:c r="B14" s="24" t="str"/>
      <x:c r="C14" s="24" t="str"/>
      <x:c r="D14" s="24" t="str"/>
      <x:c r="E14" s="24" t="str"/>
      <x:c r="F14" s="47"/>
      <x:c r="G14" s="24" t="str">
        <x:v>Not run</x:v>
      </x:c>
      <x:c r="H14" s="25" t="str"/>
    </x:row>
    <x:row r="15">
      <x:c r="A15" s="23" t="str">
        <x:v>BENCH-03</x:v>
      </x:c>
      <x:c r="B15" s="24" t="str"/>
      <x:c r="C15" s="24" t="str"/>
      <x:c r="D15" s="24" t="str"/>
      <x:c r="E15" s="24" t="str"/>
      <x:c r="F15" s="47"/>
      <x:c r="G15" s="24" t="str">
        <x:v>Not run</x:v>
      </x:c>
      <x:c r="H15" s="25" t="str"/>
    </x:row>
    <x:row r="16">
      <x:c r="A16" s="23" t="str">
        <x:v>BENCH-03</x:v>
      </x:c>
      <x:c r="B16" s="24" t="str"/>
      <x:c r="C16" s="24" t="str"/>
      <x:c r="D16" s="24" t="str"/>
      <x:c r="E16" s="24" t="str"/>
      <x:c r="F16" s="47"/>
      <x:c r="G16" s="24" t="str">
        <x:v>Not run</x:v>
      </x:c>
      <x:c r="H16" s="25" t="str"/>
    </x:row>
    <x:row r="17">
      <x:c r="A17" s="23" t="str">
        <x:v>BENCH-03</x:v>
      </x:c>
      <x:c r="B17" s="24" t="str"/>
      <x:c r="C17" s="24" t="str"/>
      <x:c r="D17" s="24" t="str"/>
      <x:c r="E17" s="24" t="str"/>
      <x:c r="F17" s="47"/>
      <x:c r="G17" s="24" t="str">
        <x:v>Not run</x:v>
      </x:c>
      <x:c r="H17" s="25" t="str"/>
    </x:row>
    <x:row r="18">
      <x:c r="A18" s="23" t="str">
        <x:v>BENCH-03</x:v>
      </x:c>
      <x:c r="B18" s="24" t="str"/>
      <x:c r="C18" s="24" t="str"/>
      <x:c r="D18" s="24" t="str"/>
      <x:c r="E18" s="24" t="str"/>
      <x:c r="F18" s="47"/>
      <x:c r="G18" s="24" t="str">
        <x:v>Not run</x:v>
      </x:c>
      <x:c r="H18" s="25" t="str"/>
    </x:row>
    <x:row r="19">
      <x:c r="A19" s="23" t="str">
        <x:v>BENCH-03</x:v>
      </x:c>
      <x:c r="B19" s="24" t="str"/>
      <x:c r="C19" s="24" t="str"/>
      <x:c r="D19" s="24" t="str"/>
      <x:c r="E19" s="24" t="str"/>
      <x:c r="F19" s="47"/>
      <x:c r="G19" s="24" t="str">
        <x:v>Not run</x:v>
      </x:c>
      <x:c r="H19" s="25" t="str"/>
    </x:row>
    <x:row r="20">
      <x:c r="A20" s="23" t="str">
        <x:v>BENCH-04</x:v>
      </x:c>
      <x:c r="B20" s="24" t="str"/>
      <x:c r="C20" s="24" t="str"/>
      <x:c r="D20" s="24" t="str"/>
      <x:c r="E20" s="24" t="str"/>
      <x:c r="F20" s="47"/>
      <x:c r="G20" s="24" t="str">
        <x:v>Not run</x:v>
      </x:c>
      <x:c r="H20" s="25" t="str"/>
    </x:row>
    <x:row r="21">
      <x:c r="A21" s="23" t="str">
        <x:v>BENCH-04</x:v>
      </x:c>
      <x:c r="B21" s="24" t="str"/>
      <x:c r="C21" s="24" t="str"/>
      <x:c r="D21" s="24" t="str"/>
      <x:c r="E21" s="24" t="str"/>
      <x:c r="F21" s="47"/>
      <x:c r="G21" s="24" t="str">
        <x:v>Not run</x:v>
      </x:c>
      <x:c r="H21" s="25" t="str"/>
    </x:row>
    <x:row r="22">
      <x:c r="A22" s="23" t="str">
        <x:v>BENCH-04</x:v>
      </x:c>
      <x:c r="B22" s="24" t="str"/>
      <x:c r="C22" s="24" t="str"/>
      <x:c r="D22" s="24" t="str"/>
      <x:c r="E22" s="24" t="str"/>
      <x:c r="F22" s="47"/>
      <x:c r="G22" s="24" t="str">
        <x:v>Not run</x:v>
      </x:c>
      <x:c r="H22" s="25" t="str"/>
    </x:row>
    <x:row r="23">
      <x:c r="A23" s="23" t="str">
        <x:v>BENCH-04</x:v>
      </x:c>
      <x:c r="B23" s="24" t="str"/>
      <x:c r="C23" s="24" t="str"/>
      <x:c r="D23" s="24" t="str"/>
      <x:c r="E23" s="24" t="str"/>
      <x:c r="F23" s="47"/>
      <x:c r="G23" s="24" t="str">
        <x:v>Not run</x:v>
      </x:c>
      <x:c r="H23" s="25" t="str"/>
    </x:row>
    <x:row r="24">
      <x:c r="A24" s="32" t="str">
        <x:v>BENCH-04</x:v>
      </x:c>
      <x:c r="B24" s="33" t="str"/>
      <x:c r="C24" s="33" t="str"/>
      <x:c r="D24" s="33" t="str"/>
      <x:c r="E24" s="33" t="str"/>
      <x:c r="F24" s="48"/>
      <x:c r="G24" s="33" t="str">
        <x:v>Not run</x:v>
      </x:c>
      <x:c r="H24" s="34" t="str"/>
    </x:row>
  </x:sheetData>
  <x:mergeCells>
    <x:mergeCell ref="A1:H1"/>
    <x:mergeCell ref="A2:H2"/>
  </x:mergeCells>
  <x:conditionalFormatting sqref="G5:G24">
    <x:cfRule type="containsText" dxfId="12" priority="1" operator="containsText" text="Ready"/>
    <x:cfRule type="containsText" dxfId="13" priority="2" operator="containsText" text="Pass"/>
    <x:cfRule type="containsText" dxfId="14" priority="3" operator="containsText" text="Blocked"/>
    <x:cfRule type="containsText" dxfId="15" priority="4" operator="containsText" text="Fail"/>
    <x:cfRule type="containsText" dxfId="16" priority="5" operator="containsText" text="Unverified"/>
    <x:cfRule type="containsText" dxfId="17" priority="6" operator="containsText" text="Not"/>
  </x:conditionalFormatting>
  <x:dataValidations count="1">
    <x:dataValidation type="list" sqref="G5:G24">
      <x:formula1>"Not run,Pass,Fail"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" hidden="0" customWidth="1"/>
    <x:col min="4" max="4" width="14" hidden="0" customWidth="1"/>
    <x:col min="5" max="5" width="28" hidden="0" customWidth="1"/>
    <x:col min="6" max="6" width="4" hidden="0" customWidth="1"/>
    <x:col min="7" max="7" width="14" hidden="0" customWidth="1"/>
    <x:col min="8" max="8" width="14" hidden="0" customWidth="1"/>
  </x:cols>
  <x:sheetData>
    <x:row r="1">
      <x:c r="A1" s="3" t="str">
        <x:v>Printable Bench Reset Cards</x:v>
      </x:c>
      <x:c r="B1" s="3"/>
      <x:c r="C1" s="3"/>
      <x:c r="D1" s="3"/>
      <x:c r="E1" s="3"/>
      <x:c r="F1" s="3"/>
      <x:c r="G1" s="3"/>
      <x:c r="H1" s="3"/>
    </x:row>
    <x:row r="2">
      <x:c r="A2" s="7" t="str">
        <x:v>Print, cut, and place one card at each bench after the physical audit is complete</x:v>
      </x:c>
      <x:c r="B2" s="7"/>
      <x:c r="C2" s="7"/>
      <x:c r="D2" s="7"/>
      <x:c r="E2" s="7"/>
      <x:c r="F2" s="7"/>
      <x:c r="G2" s="7"/>
      <x:c r="H2" s="7"/>
    </x:row>
    <x:row r="4">
      <x:c r="A4" s="51" t="str">
        <x:v>BENCH-01 · BASELINE RESET CARD</x:v>
      </x:c>
      <x:c r="B4" s="51"/>
      <x:c r="C4" s="51"/>
      <x:c r="D4" s="51"/>
      <x:c r="E4" s="51"/>
      <x:c r="F4" s="51"/>
      <x:c r="G4" s="51"/>
      <x:c r="H4" s="51"/>
    </x:row>
    <x:row r="5">
      <x:c r="A5" s="53" t="str">
        <x:v>1</x:v>
      </x:c>
      <x:c r="B5" s="53" t="str">
        <x:v>Power off and disconnect AC</x:v>
      </x:c>
      <x:c r="C5" s="53" t="str"/>
      <x:c r="D5" s="53" t="str">
        <x:v>5</x:v>
      </x:c>
      <x:c r="E5" s="53" t="str">
        <x:v>Reconnect display, keyboard, and mouse</x:v>
      </x:c>
      <x:c r="F5" s="53" t="str"/>
      <x:c r="G5" s="53" t="str">
        <x:v>Initials</x:v>
      </x:c>
      <x:c r="H5" s="53" t="str"/>
    </x:row>
    <x:row r="6">
      <x:c r="A6" s="53" t="str">
        <x:v>2</x:v>
      </x:c>
      <x:c r="B6" s="53" t="str">
        <x:v>Remove staged-fault part; return it to RED storage</x:v>
      </x:c>
      <x:c r="C6" s="53" t="str"/>
      <x:c r="D6" s="53" t="str">
        <x:v>6</x:v>
      </x:c>
      <x:c r="E6" s="53" t="str">
        <x:v>POST and enter firmware setup</x:v>
      </x:c>
      <x:c r="F6" s="53" t="str"/>
      <x:c r="G6" s="53" t="str">
        <x:v>Date</x:v>
      </x:c>
      <x:c r="H6" s="53" t="str"/>
    </x:row>
    <x:row r="7">
      <x:c r="A7" s="53" t="str">
        <x:v>3</x:v>
      </x:c>
      <x:c r="B7" s="53" t="str">
        <x:v>Install the labeled GREEN baseline part</x:v>
      </x:c>
      <x:c r="C7" s="53" t="str"/>
      <x:c r="D7" s="53" t="str">
        <x:v>7</x:v>
      </x:c>
      <x:c r="E7" s="53" t="str">
        <x:v>Confirm CPU, RAM, and storage detection</x:v>
      </x:c>
      <x:c r="F7" s="53" t="str"/>
      <x:c r="G7" s="53" t="str">
        <x:v>Time</x:v>
      </x:c>
      <x:c r="H7" s="53" t="str"/>
    </x:row>
    <x:row r="8">
      <x:c r="A8" s="53" t="str">
        <x:v>4</x:v>
      </x:c>
      <x:c r="B8" s="53" t="str">
        <x:v>Check power, data, fan, and front-panel connections</x:v>
      </x:c>
      <x:c r="C8" s="53" t="str"/>
      <x:c r="D8" s="53" t="str">
        <x:v>8</x:v>
      </x:c>
      <x:c r="E8" s="53" t="str">
        <x:v>Boot diagnostic media / baseline OS and record result</x:v>
      </x:c>
      <x:c r="F8" s="53" t="str"/>
      <x:c r="G8" s="53" t="str">
        <x:v>Result</x:v>
      </x:c>
      <x:c r="H8" s="53" t="str"/>
    </x:row>
    <x:row r="9">
      <x:c r="A9" s="53" t="str">
        <x:v>Baseline CPU</x:v>
      </x:c>
      <x:c r="B9" s="53" t="str"/>
      <x:c r="C9" s="53" t="str"/>
      <x:c r="D9" s="53" t="str">
        <x:v>Baseline RAM</x:v>
      </x:c>
      <x:c r="E9" s="53" t="str"/>
      <x:c r="F9" s="53" t="str"/>
      <x:c r="G9" s="53" t="str">
        <x:v>Pass/Fail</x:v>
      </x:c>
      <x:c r="H9" s="53" t="str"/>
    </x:row>
    <x:row r="10">
      <x:c r="A10" s="53" t="str">
        <x:v>Baseline board</x:v>
      </x:c>
      <x:c r="B10" s="53" t="str"/>
      <x:c r="C10" s="53" t="str"/>
      <x:c r="D10" s="53" t="str">
        <x:v>Baseline PSU</x:v>
      </x:c>
      <x:c r="E10" s="53" t="str"/>
      <x:c r="F10" s="53" t="str"/>
      <x:c r="G10" s="53" t="str">
        <x:v>Fault ID</x:v>
      </x:c>
      <x:c r="H10" s="53" t="str"/>
    </x:row>
    <x:row r="11">
      <x:c r="A11" s="53" t="str">
        <x:v>Baseline storage</x:v>
      </x:c>
      <x:c r="B11" s="53" t="str"/>
      <x:c r="C11" s="53" t="str"/>
      <x:c r="D11" s="53" t="str">
        <x:v>Display/cable</x:v>
      </x:c>
      <x:c r="E11" s="53" t="str"/>
      <x:c r="F11" s="53" t="str"/>
      <x:c r="G11" s="53" t="str">
        <x:v>Minutes</x:v>
      </x:c>
      <x:c r="H11" s="53" t="str"/>
    </x:row>
    <x:row r="12">
      <x:c r="A12" s="53" t="str">
        <x:v>Stop condition</x:v>
      </x:c>
      <x:c r="B12" s="53" t="str">
        <x:v>If smoke, heat, damaged conductors, liquid, or uncertain mains condition is observed: disconnect power and quarantine.</x:v>
      </x:c>
      <x:c r="C12" s="53" t="str"/>
      <x:c r="D12" s="53" t="str"/>
      <x:c r="E12" s="53" t="str"/>
      <x:c r="F12" s="53" t="str"/>
      <x:c r="G12" s="53" t="str"/>
      <x:c r="H12" s="53" t="str"/>
    </x:row>
    <x:row r="16">
      <x:c r="A16" s="51" t="str">
        <x:v>BENCH-02 · BASELINE RESET CARD</x:v>
      </x:c>
      <x:c r="B16" s="51"/>
      <x:c r="C16" s="51"/>
      <x:c r="D16" s="51"/>
      <x:c r="E16" s="51"/>
      <x:c r="F16" s="51"/>
      <x:c r="G16" s="51"/>
      <x:c r="H16" s="51"/>
    </x:row>
    <x:row r="17">
      <x:c r="A17" s="53" t="str">
        <x:v>1</x:v>
      </x:c>
      <x:c r="B17" s="53" t="str">
        <x:v>Power off and disconnect AC</x:v>
      </x:c>
      <x:c r="C17" s="53" t="str"/>
      <x:c r="D17" s="53" t="str">
        <x:v>5</x:v>
      </x:c>
      <x:c r="E17" s="53" t="str">
        <x:v>Reconnect display, keyboard, and mouse</x:v>
      </x:c>
      <x:c r="F17" s="53" t="str"/>
      <x:c r="G17" s="53" t="str">
        <x:v>Initials</x:v>
      </x:c>
      <x:c r="H17" s="53" t="str"/>
    </x:row>
    <x:row r="18">
      <x:c r="A18" s="53" t="str">
        <x:v>2</x:v>
      </x:c>
      <x:c r="B18" s="53" t="str">
        <x:v>Remove staged-fault part; return it to RED storage</x:v>
      </x:c>
      <x:c r="C18" s="53" t="str"/>
      <x:c r="D18" s="53" t="str">
        <x:v>6</x:v>
      </x:c>
      <x:c r="E18" s="53" t="str">
        <x:v>POST and enter firmware setup</x:v>
      </x:c>
      <x:c r="F18" s="53" t="str"/>
      <x:c r="G18" s="53" t="str">
        <x:v>Date</x:v>
      </x:c>
      <x:c r="H18" s="53" t="str"/>
    </x:row>
    <x:row r="19">
      <x:c r="A19" s="53" t="str">
        <x:v>3</x:v>
      </x:c>
      <x:c r="B19" s="53" t="str">
        <x:v>Install the labeled GREEN baseline part</x:v>
      </x:c>
      <x:c r="C19" s="53" t="str"/>
      <x:c r="D19" s="53" t="str">
        <x:v>7</x:v>
      </x:c>
      <x:c r="E19" s="53" t="str">
        <x:v>Confirm CPU, RAM, and storage detection</x:v>
      </x:c>
      <x:c r="F19" s="53" t="str"/>
      <x:c r="G19" s="53" t="str">
        <x:v>Time</x:v>
      </x:c>
      <x:c r="H19" s="53" t="str"/>
    </x:row>
    <x:row r="20">
      <x:c r="A20" s="53" t="str">
        <x:v>4</x:v>
      </x:c>
      <x:c r="B20" s="53" t="str">
        <x:v>Check power, data, fan, and front-panel connections</x:v>
      </x:c>
      <x:c r="C20" s="53" t="str"/>
      <x:c r="D20" s="53" t="str">
        <x:v>8</x:v>
      </x:c>
      <x:c r="E20" s="53" t="str">
        <x:v>Boot diagnostic media / baseline OS and record result</x:v>
      </x:c>
      <x:c r="F20" s="53" t="str"/>
      <x:c r="G20" s="53" t="str">
        <x:v>Result</x:v>
      </x:c>
      <x:c r="H20" s="53" t="str"/>
    </x:row>
    <x:row r="21">
      <x:c r="A21" s="53" t="str">
        <x:v>Baseline CPU</x:v>
      </x:c>
      <x:c r="B21" s="53" t="str"/>
      <x:c r="C21" s="53" t="str"/>
      <x:c r="D21" s="53" t="str">
        <x:v>Baseline RAM</x:v>
      </x:c>
      <x:c r="E21" s="53" t="str"/>
      <x:c r="F21" s="53" t="str"/>
      <x:c r="G21" s="53" t="str">
        <x:v>Pass/Fail</x:v>
      </x:c>
      <x:c r="H21" s="53" t="str"/>
    </x:row>
    <x:row r="22">
      <x:c r="A22" s="53" t="str">
        <x:v>Baseline board</x:v>
      </x:c>
      <x:c r="B22" s="53" t="str"/>
      <x:c r="C22" s="53" t="str"/>
      <x:c r="D22" s="53" t="str">
        <x:v>Baseline PSU</x:v>
      </x:c>
      <x:c r="E22" s="53" t="str"/>
      <x:c r="F22" s="53" t="str"/>
      <x:c r="G22" s="53" t="str">
        <x:v>Fault ID</x:v>
      </x:c>
      <x:c r="H22" s="53" t="str"/>
    </x:row>
    <x:row r="23">
      <x:c r="A23" s="53" t="str">
        <x:v>Baseline storage</x:v>
      </x:c>
      <x:c r="B23" s="53" t="str"/>
      <x:c r="C23" s="53" t="str"/>
      <x:c r="D23" s="53" t="str">
        <x:v>Display/cable</x:v>
      </x:c>
      <x:c r="E23" s="53" t="str"/>
      <x:c r="F23" s="53" t="str"/>
      <x:c r="G23" s="53" t="str">
        <x:v>Minutes</x:v>
      </x:c>
      <x:c r="H23" s="53" t="str"/>
    </x:row>
    <x:row r="24">
      <x:c r="A24" s="53" t="str">
        <x:v>Stop condition</x:v>
      </x:c>
      <x:c r="B24" s="53" t="str">
        <x:v>If smoke, heat, damaged conductors, liquid, or uncertain mains condition is observed: disconnect power and quarantine.</x:v>
      </x:c>
      <x:c r="C24" s="53" t="str"/>
      <x:c r="D24" s="53" t="str"/>
      <x:c r="E24" s="53" t="str"/>
      <x:c r="F24" s="53" t="str"/>
      <x:c r="G24" s="53" t="str"/>
      <x:c r="H24" s="53" t="str"/>
    </x:row>
    <x:row r="28">
      <x:c r="A28" s="51" t="str">
        <x:v>BENCH-03 · BASELINE RESET CARD</x:v>
      </x:c>
      <x:c r="B28" s="51"/>
      <x:c r="C28" s="51"/>
      <x:c r="D28" s="51"/>
      <x:c r="E28" s="51"/>
      <x:c r="F28" s="51"/>
      <x:c r="G28" s="51"/>
      <x:c r="H28" s="51"/>
    </x:row>
    <x:row r="29">
      <x:c r="A29" s="53" t="str">
        <x:v>1</x:v>
      </x:c>
      <x:c r="B29" s="53" t="str">
        <x:v>Power off and disconnect AC</x:v>
      </x:c>
      <x:c r="C29" s="53" t="str"/>
      <x:c r="D29" s="53" t="str">
        <x:v>5</x:v>
      </x:c>
      <x:c r="E29" s="53" t="str">
        <x:v>Reconnect display, keyboard, and mouse</x:v>
      </x:c>
      <x:c r="F29" s="53" t="str"/>
      <x:c r="G29" s="53" t="str">
        <x:v>Initials</x:v>
      </x:c>
      <x:c r="H29" s="53" t="str"/>
    </x:row>
    <x:row r="30">
      <x:c r="A30" s="53" t="str">
        <x:v>2</x:v>
      </x:c>
      <x:c r="B30" s="53" t="str">
        <x:v>Remove staged-fault part; return it to RED storage</x:v>
      </x:c>
      <x:c r="C30" s="53" t="str"/>
      <x:c r="D30" s="53" t="str">
        <x:v>6</x:v>
      </x:c>
      <x:c r="E30" s="53" t="str">
        <x:v>POST and enter firmware setup</x:v>
      </x:c>
      <x:c r="F30" s="53" t="str"/>
      <x:c r="G30" s="53" t="str">
        <x:v>Date</x:v>
      </x:c>
      <x:c r="H30" s="53" t="str"/>
    </x:row>
    <x:row r="31">
      <x:c r="A31" s="53" t="str">
        <x:v>3</x:v>
      </x:c>
      <x:c r="B31" s="53" t="str">
        <x:v>Install the labeled GREEN baseline part</x:v>
      </x:c>
      <x:c r="C31" s="53" t="str"/>
      <x:c r="D31" s="53" t="str">
        <x:v>7</x:v>
      </x:c>
      <x:c r="E31" s="53" t="str">
        <x:v>Confirm CPU, RAM, and storage detection</x:v>
      </x:c>
      <x:c r="F31" s="53" t="str"/>
      <x:c r="G31" s="53" t="str">
        <x:v>Time</x:v>
      </x:c>
      <x:c r="H31" s="53" t="str"/>
    </x:row>
    <x:row r="32">
      <x:c r="A32" s="53" t="str">
        <x:v>4</x:v>
      </x:c>
      <x:c r="B32" s="53" t="str">
        <x:v>Check power, data, fan, and front-panel connections</x:v>
      </x:c>
      <x:c r="C32" s="53" t="str"/>
      <x:c r="D32" s="53" t="str">
        <x:v>8</x:v>
      </x:c>
      <x:c r="E32" s="53" t="str">
        <x:v>Boot diagnostic media / baseline OS and record result</x:v>
      </x:c>
      <x:c r="F32" s="53" t="str"/>
      <x:c r="G32" s="53" t="str">
        <x:v>Result</x:v>
      </x:c>
      <x:c r="H32" s="53" t="str"/>
    </x:row>
    <x:row r="33">
      <x:c r="A33" s="53" t="str">
        <x:v>Baseline CPU</x:v>
      </x:c>
      <x:c r="B33" s="53" t="str"/>
      <x:c r="C33" s="53" t="str"/>
      <x:c r="D33" s="53" t="str">
        <x:v>Baseline RAM</x:v>
      </x:c>
      <x:c r="E33" s="53" t="str"/>
      <x:c r="F33" s="53" t="str"/>
      <x:c r="G33" s="53" t="str">
        <x:v>Pass/Fail</x:v>
      </x:c>
      <x:c r="H33" s="53" t="str"/>
    </x:row>
    <x:row r="34">
      <x:c r="A34" s="53" t="str">
        <x:v>Baseline board</x:v>
      </x:c>
      <x:c r="B34" s="53" t="str"/>
      <x:c r="C34" s="53" t="str"/>
      <x:c r="D34" s="53" t="str">
        <x:v>Baseline PSU</x:v>
      </x:c>
      <x:c r="E34" s="53" t="str"/>
      <x:c r="F34" s="53" t="str"/>
      <x:c r="G34" s="53" t="str">
        <x:v>Fault ID</x:v>
      </x:c>
      <x:c r="H34" s="53" t="str"/>
    </x:row>
    <x:row r="35">
      <x:c r="A35" s="53" t="str">
        <x:v>Baseline storage</x:v>
      </x:c>
      <x:c r="B35" s="53" t="str"/>
      <x:c r="C35" s="53" t="str"/>
      <x:c r="D35" s="53" t="str">
        <x:v>Display/cable</x:v>
      </x:c>
      <x:c r="E35" s="53" t="str"/>
      <x:c r="F35" s="53" t="str"/>
      <x:c r="G35" s="53" t="str">
        <x:v>Minutes</x:v>
      </x:c>
      <x:c r="H35" s="53" t="str"/>
    </x:row>
    <x:row r="36">
      <x:c r="A36" s="53" t="str">
        <x:v>Stop condition</x:v>
      </x:c>
      <x:c r="B36" s="53" t="str">
        <x:v>If smoke, heat, damaged conductors, liquid, or uncertain mains condition is observed: disconnect power and quarantine.</x:v>
      </x:c>
      <x:c r="C36" s="53" t="str"/>
      <x:c r="D36" s="53" t="str"/>
      <x:c r="E36" s="53" t="str"/>
      <x:c r="F36" s="53" t="str"/>
      <x:c r="G36" s="53" t="str"/>
      <x:c r="H36" s="53" t="str"/>
    </x:row>
    <x:row r="40">
      <x:c r="A40" s="51" t="str">
        <x:v>BENCH-04 · BASELINE RESET CARD</x:v>
      </x:c>
      <x:c r="B40" s="51"/>
      <x:c r="C40" s="51"/>
      <x:c r="D40" s="51"/>
      <x:c r="E40" s="51"/>
      <x:c r="F40" s="51"/>
      <x:c r="G40" s="51"/>
      <x:c r="H40" s="51"/>
    </x:row>
    <x:row r="41">
      <x:c r="A41" s="53" t="str">
        <x:v>1</x:v>
      </x:c>
      <x:c r="B41" s="53" t="str">
        <x:v>Power off and disconnect AC</x:v>
      </x:c>
      <x:c r="C41" s="53" t="str"/>
      <x:c r="D41" s="53" t="str">
        <x:v>5</x:v>
      </x:c>
      <x:c r="E41" s="53" t="str">
        <x:v>Reconnect display, keyboard, and mouse</x:v>
      </x:c>
      <x:c r="F41" s="53" t="str"/>
      <x:c r="G41" s="53" t="str">
        <x:v>Initials</x:v>
      </x:c>
      <x:c r="H41" s="53" t="str"/>
    </x:row>
    <x:row r="42">
      <x:c r="A42" s="53" t="str">
        <x:v>2</x:v>
      </x:c>
      <x:c r="B42" s="53" t="str">
        <x:v>Remove staged-fault part; return it to RED storage</x:v>
      </x:c>
      <x:c r="C42" s="53" t="str"/>
      <x:c r="D42" s="53" t="str">
        <x:v>6</x:v>
      </x:c>
      <x:c r="E42" s="53" t="str">
        <x:v>POST and enter firmware setup</x:v>
      </x:c>
      <x:c r="F42" s="53" t="str"/>
      <x:c r="G42" s="53" t="str">
        <x:v>Date</x:v>
      </x:c>
      <x:c r="H42" s="53" t="str"/>
    </x:row>
    <x:row r="43">
      <x:c r="A43" s="53" t="str">
        <x:v>3</x:v>
      </x:c>
      <x:c r="B43" s="53" t="str">
        <x:v>Install the labeled GREEN baseline part</x:v>
      </x:c>
      <x:c r="C43" s="53" t="str"/>
      <x:c r="D43" s="53" t="str">
        <x:v>7</x:v>
      </x:c>
      <x:c r="E43" s="53" t="str">
        <x:v>Confirm CPU, RAM, and storage detection</x:v>
      </x:c>
      <x:c r="F43" s="53" t="str"/>
      <x:c r="G43" s="53" t="str">
        <x:v>Time</x:v>
      </x:c>
      <x:c r="H43" s="53" t="str"/>
    </x:row>
    <x:row r="44">
      <x:c r="A44" s="53" t="str">
        <x:v>4</x:v>
      </x:c>
      <x:c r="B44" s="53" t="str">
        <x:v>Check power, data, fan, and front-panel connections</x:v>
      </x:c>
      <x:c r="C44" s="53" t="str"/>
      <x:c r="D44" s="53" t="str">
        <x:v>8</x:v>
      </x:c>
      <x:c r="E44" s="53" t="str">
        <x:v>Boot diagnostic media / baseline OS and record result</x:v>
      </x:c>
      <x:c r="F44" s="53" t="str"/>
      <x:c r="G44" s="53" t="str">
        <x:v>Result</x:v>
      </x:c>
      <x:c r="H44" s="53" t="str"/>
    </x:row>
    <x:row r="45">
      <x:c r="A45" s="53" t="str">
        <x:v>Baseline CPU</x:v>
      </x:c>
      <x:c r="B45" s="53" t="str"/>
      <x:c r="C45" s="53" t="str"/>
      <x:c r="D45" s="53" t="str">
        <x:v>Baseline RAM</x:v>
      </x:c>
      <x:c r="E45" s="53" t="str"/>
      <x:c r="F45" s="53" t="str"/>
      <x:c r="G45" s="53" t="str">
        <x:v>Pass/Fail</x:v>
      </x:c>
      <x:c r="H45" s="53" t="str"/>
    </x:row>
    <x:row r="46">
      <x:c r="A46" s="53" t="str">
        <x:v>Baseline board</x:v>
      </x:c>
      <x:c r="B46" s="53" t="str"/>
      <x:c r="C46" s="53" t="str"/>
      <x:c r="D46" s="53" t="str">
        <x:v>Baseline PSU</x:v>
      </x:c>
      <x:c r="E46" s="53" t="str"/>
      <x:c r="F46" s="53" t="str"/>
      <x:c r="G46" s="53" t="str">
        <x:v>Fault ID</x:v>
      </x:c>
      <x:c r="H46" s="53" t="str"/>
    </x:row>
    <x:row r="47">
      <x:c r="A47" s="53" t="str">
        <x:v>Baseline storage</x:v>
      </x:c>
      <x:c r="B47" s="53" t="str"/>
      <x:c r="C47" s="53" t="str"/>
      <x:c r="D47" s="53" t="str">
        <x:v>Display/cable</x:v>
      </x:c>
      <x:c r="E47" s="53" t="str"/>
      <x:c r="F47" s="53" t="str"/>
      <x:c r="G47" s="53" t="str">
        <x:v>Minutes</x:v>
      </x:c>
      <x:c r="H47" s="53" t="str"/>
    </x:row>
    <x:row r="48">
      <x:c r="A48" s="53" t="str">
        <x:v>Stop condition</x:v>
      </x:c>
      <x:c r="B48" s="53" t="str">
        <x:v>If smoke, heat, damaged conductors, liquid, or uncertain mains condition is observed: disconnect power and quarantine.</x:v>
      </x:c>
      <x:c r="C48" s="53" t="str"/>
      <x:c r="D48" s="53" t="str"/>
      <x:c r="E48" s="53" t="str"/>
      <x:c r="F48" s="53" t="str"/>
      <x:c r="G48" s="53" t="str"/>
      <x:c r="H48" s="53" t="str"/>
    </x:row>
  </x:sheetData>
  <x:mergeCells>
    <x:mergeCell ref="A1:H1"/>
    <x:mergeCell ref="A2:H2"/>
    <x:mergeCell ref="A4:H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E5:F5"/>
    <x:mergeCell ref="E6:F6"/>
    <x:mergeCell ref="E7:F7"/>
    <x:mergeCell ref="E8:F8"/>
    <x:mergeCell ref="E9:F9"/>
    <x:mergeCell ref="E10:F10"/>
    <x:mergeCell ref="E11:F11"/>
    <x:mergeCell ref="E12:F12"/>
    <x:mergeCell ref="G12:H12"/>
    <x:mergeCell ref="A16:H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G24:H24"/>
    <x:mergeCell ref="A28:H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G36:H36"/>
    <x:mergeCell ref="A40:H40"/>
    <x:mergeCell ref="B41:C41"/>
    <x:mergeCell ref="B42:C42"/>
    <x:mergeCell ref="B43:C43"/>
    <x:mergeCell ref="B44:C44"/>
    <x:mergeCell ref="B45:C45"/>
    <x:mergeCell ref="B46:C46"/>
    <x:mergeCell ref="B47:C47"/>
    <x:mergeCell ref="B48:C48"/>
    <x:mergeCell ref="E41:F41"/>
    <x:mergeCell ref="E42:F42"/>
    <x:mergeCell ref="E43:F43"/>
    <x:mergeCell ref="E44:F44"/>
    <x:mergeCell ref="E45:F45"/>
    <x:mergeCell ref="E46:F46"/>
    <x:mergeCell ref="E47:F47"/>
    <x:mergeCell ref="E48:F48"/>
    <x:mergeCell ref="G48:H48"/>
  </x:mergeCells>
  <x:pageMargins left="0.7" right="0.7" top="0.75" bottom="0.75" header="0.3" footer="0.3"/>
</x:worksheet>
</file>